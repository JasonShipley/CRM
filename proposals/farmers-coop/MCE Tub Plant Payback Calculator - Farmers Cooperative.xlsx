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back" sheetId="1" state="visible" r:id="rId1"/>
    <sheet name="Formulation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$#,##0.00;($#,##0.00);&quot;-&quot;"/>
    <numFmt numFmtId="166" formatCode="0.0%"/>
    <numFmt numFmtId="167" formatCode="0.0"/>
    <numFmt numFmtId="168" formatCode="+0%;-0%;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6602"/>
      <sz val="9"/>
    </font>
    <font>
      <name val="Arial"/>
      <color rgb="00C8C7C7"/>
      <sz val="8"/>
    </font>
    <font>
      <name val="Arial"/>
      <i val="1"/>
      <color rgb="00575D5E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color rgb="000000FF"/>
    </font>
    <font>
      <name val="Arial"/>
      <b val="1"/>
      <color rgb="001A1A1A"/>
      <sz val="10"/>
    </font>
    <font>
      <name val="Arial"/>
      <b val="1"/>
    </font>
    <font>
      <name val="Arial"/>
    </font>
    <font>
      <name val="Arial"/>
      <b val="1"/>
      <color rgb="00C24E00"/>
      <sz val="12"/>
    </font>
    <font>
      <name val="Arial"/>
      <i val="1"/>
      <color rgb="009A9A9A"/>
      <sz val="8"/>
    </font>
    <font>
      <name val="Arial"/>
      <color rgb="009A9A9A"/>
      <sz val="8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FF6602"/>
      </patternFill>
    </fill>
    <fill>
      <patternFill patternType="solid">
        <fgColor rgb="002B2B2B"/>
      </patternFill>
    </fill>
    <fill>
      <patternFill patternType="solid">
        <fgColor rgb="00FFF2CC"/>
      </patternFill>
    </fill>
    <fill>
      <patternFill patternType="solid">
        <fgColor rgb="00FFE5D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C8C7C7"/>
      </left>
      <right style="thin">
        <color rgb="00C8C7C7"/>
      </right>
      <top style="thin">
        <color rgb="00C8C7C7"/>
      </top>
      <bottom style="thin">
        <color rgb="00C8C7C7"/>
      </bottom>
    </border>
    <border>
      <top style="thin">
        <color rgb="00000000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6" fillId="0" borderId="0" pivotButton="0" quotePrefix="0" xfId="0"/>
    <xf numFmtId="164" fontId="7" fillId="5" borderId="1" pivotButton="0" quotePrefix="0" xfId="0"/>
    <xf numFmtId="3" fontId="7" fillId="5" borderId="1" pivotButton="0" quotePrefix="0" xfId="0"/>
    <xf numFmtId="165" fontId="7" fillId="5" borderId="1" pivotButton="0" quotePrefix="0" xfId="0"/>
    <xf numFmtId="166" fontId="7" fillId="5" borderId="1" pivotButton="0" quotePrefix="0" xfId="0"/>
    <xf numFmtId="0" fontId="8" fillId="0" borderId="0" pivotButton="0" quotePrefix="0" xfId="0"/>
    <xf numFmtId="3" fontId="9" fillId="0" borderId="0" pivotButton="0" quotePrefix="0" xfId="0"/>
    <xf numFmtId="166" fontId="10" fillId="0" borderId="0" pivotButton="0" quotePrefix="0" xfId="0"/>
    <xf numFmtId="0" fontId="8" fillId="0" borderId="0" applyAlignment="1" pivotButton="0" quotePrefix="0" xfId="0">
      <alignment horizontal="right"/>
    </xf>
    <xf numFmtId="165" fontId="10" fillId="0" borderId="0" pivotButton="0" quotePrefix="0" xfId="0"/>
    <xf numFmtId="165" fontId="9" fillId="0" borderId="2" pivotButton="0" quotePrefix="0" xfId="0"/>
    <xf numFmtId="165" fontId="9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167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  <xf numFmtId="165" fontId="13" fillId="0" borderId="0" pivotButton="0" quotePrefix="0" xfId="0"/>
    <xf numFmtId="168" fontId="9" fillId="7" borderId="0" applyAlignment="1" pivotButton="0" quotePrefix="0" xfId="0">
      <alignment horizontal="right"/>
    </xf>
    <xf numFmtId="167" fontId="10" fillId="0" borderId="1" pivotButton="0" quotePrefix="0" xfId="0"/>
    <xf numFmtId="0" fontId="10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cash position</a:t>
            </a:r>
          </a:p>
        </rich>
      </tx>
    </title>
    <plotArea>
      <lineChart>
        <grouping val="standard"/>
        <ser>
          <idx val="0"/>
          <order val="0"/>
          <tx>
            <strRef>
              <f>'Payback'!B63</f>
            </strRef>
          </tx>
          <spPr>
            <a:ln w="28000">
              <a:solidFill>
                <a:srgbClr val="FF660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'Payback'!$A$64:$A$124</f>
            </numRef>
          </cat>
          <val>
            <numRef>
              <f>'Payback'!$B$64:$B$124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1485900" cy="495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8590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8590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  <col width="16" customWidth="1" min="4" max="4"/>
    <col width="14" customWidth="1" min="5" max="5"/>
    <col width="14" customWidth="1" min="6" max="6"/>
    <col width="12" customWidth="1" min="7" max="7"/>
    <col width="4" customWidth="1" min="8" max="8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2" t="inlineStr">
        <is>
          <t>TUB PLANT PAYBACK CALCULATOR</t>
        </is>
      </c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3" t="inlineStr">
        <is>
          <t>4 TPH COOKED TUB PLANT — VAN BUREN, ARKANSAS</t>
        </is>
      </c>
    </row>
    <row r="3" ht="20" customHeight="1">
      <c r="A3" s="1" t="n"/>
      <c r="B3" s="1" t="n"/>
      <c r="C3" s="1" t="n"/>
      <c r="D3" s="1" t="n"/>
      <c r="E3" s="1" t="n"/>
      <c r="F3" s="1" t="n"/>
      <c r="G3" s="1" t="n"/>
      <c r="H3" s="4" t="inlineStr">
        <is>
          <t>Ref. proposal MCE-Q-2610-FCO-R1 · October 20, 2026</t>
        </is>
      </c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6">
      <c r="A6" s="6" t="inlineStr">
        <is>
          <t>Enter your numbers in the yellow cells (blue text). Everything else calculates. Ingredient prices and formulas are on the Formulations tab.</t>
        </is>
      </c>
    </row>
    <row r="8" ht="18" customHeight="1">
      <c r="A8" s="7" t="inlineStr">
        <is>
          <t>INPUTS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9" t="inlineStr">
        <is>
          <t>MCE price ($)</t>
        </is>
      </c>
      <c r="B9" s="10" t="n">
        <v>1517299</v>
      </c>
      <c r="C9" s="6" t="inlineStr">
        <is>
          <t>Proposal MCE-Q-2610-FCO-R1: equipment, engineering and start-up services</t>
        </is>
      </c>
    </row>
    <row r="10">
      <c r="A10" s="9" t="inlineStr">
        <is>
          <t>Installation by others ($)</t>
        </is>
      </c>
      <c r="B10" s="10" t="n">
        <v>0</v>
      </c>
      <c r="C10" s="6" t="inlineStr">
        <is>
          <t>Enter your contractor estimate for installation, electrical and freight</t>
        </is>
      </c>
    </row>
    <row r="11">
      <c r="A11" s="9" t="inlineStr">
        <is>
          <t>Tons per year</t>
        </is>
      </c>
      <c r="B11" s="11" t="n">
        <v>5000</v>
      </c>
      <c r="C11" s="6" t="inlineStr">
        <is>
          <t>Total tub production, all products</t>
        </is>
      </c>
    </row>
    <row r="12">
      <c r="A12" s="9" t="inlineStr">
        <is>
          <t>Tub size (lb)</t>
        </is>
      </c>
      <c r="B12" s="11" t="n">
        <v>225</v>
      </c>
      <c r="C12" s="6" t="inlineStr">
        <is>
          <t>Basis for tub count</t>
        </is>
      </c>
    </row>
    <row r="13">
      <c r="A13" s="9" t="inlineStr">
        <is>
          <t>Tub, lid and label ($/tub)</t>
        </is>
      </c>
      <c r="B13" s="12" t="n">
        <v>14</v>
      </c>
      <c r="C13" s="6" t="inlineStr">
        <is>
          <t>Your container cost</t>
        </is>
      </c>
    </row>
    <row r="14">
      <c r="A14" s="9" t="inlineStr">
        <is>
          <t>Operators on the line</t>
        </is>
      </c>
      <c r="B14" s="11" t="n">
        <v>4</v>
      </c>
      <c r="C14" s="6" t="inlineStr">
        <is>
          <t>One shift</t>
        </is>
      </c>
    </row>
    <row r="15">
      <c r="A15" s="9" t="inlineStr">
        <is>
          <t>Loaded labor rate ($/hr)</t>
        </is>
      </c>
      <c r="B15" s="12" t="n">
        <v>28</v>
      </c>
      <c r="C15" s="6" t="inlineStr">
        <is>
          <t>Wages plus benefits</t>
        </is>
      </c>
    </row>
    <row r="16">
      <c r="A16" s="9" t="inlineStr">
        <is>
          <t>Hours per operator per year</t>
        </is>
      </c>
      <c r="B16" s="11" t="n">
        <v>2080</v>
      </c>
      <c r="C16" s="6" t="inlineStr">
        <is>
          <t>One shift, full year</t>
        </is>
      </c>
    </row>
    <row r="17">
      <c r="A17" s="9" t="inlineStr">
        <is>
          <t>Energy ($/tub)</t>
        </is>
      </c>
      <c r="B17" s="12" t="n">
        <v>1</v>
      </c>
      <c r="C17" s="6" t="inlineStr">
        <is>
          <t>Gas and electric, estimate</t>
        </is>
      </c>
    </row>
    <row r="18">
      <c r="A18" s="9" t="inlineStr">
        <is>
          <t>Maintenance (% of MCE price per year)</t>
        </is>
      </c>
      <c r="B18" s="13" t="n">
        <v>0.03</v>
      </c>
      <c r="C18" s="6" t="inlineStr">
        <is>
          <t>Parts and maintenance labor, estimate</t>
        </is>
      </c>
    </row>
    <row r="19">
      <c r="A19" s="9" t="inlineStr">
        <is>
          <t>Cook yield (finished ÷ batch weight)</t>
        </is>
      </c>
      <c r="B19" s="13" t="n">
        <v>0.9</v>
      </c>
      <c r="C19" s="6" t="inlineStr">
        <is>
          <t>Moisture driven off in the cook, estimate</t>
        </is>
      </c>
    </row>
    <row r="20">
      <c r="A20" s="14" t="inlineStr">
        <is>
          <t>Tubs per year (calculated)</t>
        </is>
      </c>
      <c r="B20" s="15">
        <f>IFERROR(B11*2000/B12,0)</f>
        <v/>
      </c>
    </row>
    <row r="22">
      <c r="A22" s="14" t="inlineStr">
        <is>
          <t>Product</t>
        </is>
      </c>
      <c r="B22" s="14" t="inlineStr">
        <is>
          <t>Share of volume</t>
        </is>
      </c>
      <c r="C22" s="14" t="inlineStr">
        <is>
          <t>Current buy price ($/tub)</t>
        </is>
      </c>
    </row>
    <row r="23">
      <c r="A23" s="9" t="inlineStr">
        <is>
          <t>30-13 type</t>
        </is>
      </c>
      <c r="B23" s="13" t="n">
        <v>0.5</v>
      </c>
      <c r="C23" s="12" t="n">
        <v>115</v>
      </c>
    </row>
    <row r="24">
      <c r="A24" s="9" t="inlineStr">
        <is>
          <t>38 HI-E type</t>
        </is>
      </c>
      <c r="B24" s="13" t="n">
        <v>0.25</v>
      </c>
      <c r="C24" s="12" t="n">
        <v>125</v>
      </c>
    </row>
    <row r="25">
      <c r="A25" s="9" t="inlineStr">
        <is>
          <t>17 +Mag type</t>
        </is>
      </c>
      <c r="B25" s="13" t="n">
        <v>0.25</v>
      </c>
      <c r="C25" s="12" t="n">
        <v>105</v>
      </c>
    </row>
    <row r="26">
      <c r="A26" s="6" t="inlineStr">
        <is>
          <t>Mix total (should be 100%)</t>
        </is>
      </c>
      <c r="B26" s="16">
        <f>SUM(B23:B25)</f>
        <v/>
      </c>
    </row>
    <row r="28" ht="18" customHeight="1">
      <c r="A28" s="7" t="inlineStr">
        <is>
          <t>COST TO MAKE vs. BUY, PER TUB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B29" s="17" t="inlineStr">
        <is>
          <t>30-13 type</t>
        </is>
      </c>
      <c r="C29" s="17" t="inlineStr">
        <is>
          <t>38 HI-E type</t>
        </is>
      </c>
      <c r="D29" s="17" t="inlineStr">
        <is>
          <t>17 +Mag type</t>
        </is>
      </c>
    </row>
    <row r="30">
      <c r="A30" s="9" t="inlineStr">
        <is>
          <t>Ingredients (Formulations tab)</t>
        </is>
      </c>
      <c r="B30" s="18">
        <f>Formulations!C24</f>
        <v/>
      </c>
      <c r="C30" s="18">
        <f>Formulations!D24</f>
        <v/>
      </c>
      <c r="D30" s="18">
        <f>Formulations!E24</f>
        <v/>
      </c>
    </row>
    <row r="31">
      <c r="A31" s="9" t="inlineStr">
        <is>
          <t>Tub, lid and label</t>
        </is>
      </c>
      <c r="B31" s="18">
        <f>$B$13</f>
        <v/>
      </c>
      <c r="C31" s="18">
        <f>$B$13</f>
        <v/>
      </c>
      <c r="D31" s="18">
        <f>$B$13</f>
        <v/>
      </c>
    </row>
    <row r="32">
      <c r="A32" s="9" t="inlineStr">
        <is>
          <t>Labor</t>
        </is>
      </c>
      <c r="B32" s="18">
        <f>IFERROR($B$14*$B$15*$B$16/$B$20,0)</f>
        <v/>
      </c>
      <c r="C32" s="18">
        <f>IFERROR($B$14*$B$15*$B$16/$B$20,0)</f>
        <v/>
      </c>
      <c r="D32" s="18">
        <f>IFERROR($B$14*$B$15*$B$16/$B$20,0)</f>
        <v/>
      </c>
    </row>
    <row r="33">
      <c r="A33" s="9" t="inlineStr">
        <is>
          <t>Energy</t>
        </is>
      </c>
      <c r="B33" s="18">
        <f>$B$17</f>
        <v/>
      </c>
      <c r="C33" s="18">
        <f>$B$17</f>
        <v/>
      </c>
      <c r="D33" s="18">
        <f>$B$17</f>
        <v/>
      </c>
    </row>
    <row r="34">
      <c r="A34" s="9" t="inlineStr">
        <is>
          <t>Maintenance</t>
        </is>
      </c>
      <c r="B34" s="18">
        <f>IFERROR($B$9*$B$18/$B$20,0)</f>
        <v/>
      </c>
      <c r="C34" s="18">
        <f>IFERROR($B$9*$B$18/$B$20,0)</f>
        <v/>
      </c>
      <c r="D34" s="18">
        <f>IFERROR($B$9*$B$18/$B$20,0)</f>
        <v/>
      </c>
    </row>
    <row r="35">
      <c r="A35" s="14" t="inlineStr">
        <is>
          <t>Cost to make</t>
        </is>
      </c>
      <c r="B35" s="19">
        <f>SUM(B30:B34)</f>
        <v/>
      </c>
      <c r="C35" s="19">
        <f>SUM(C30:C34)</f>
        <v/>
      </c>
      <c r="D35" s="19">
        <f>SUM(D30:D34)</f>
        <v/>
      </c>
    </row>
    <row r="36">
      <c r="A36" s="9" t="inlineStr">
        <is>
          <t>Current buy price</t>
        </is>
      </c>
      <c r="B36" s="18">
        <f>$C$23</f>
        <v/>
      </c>
      <c r="C36" s="18">
        <f>$C$24</f>
        <v/>
      </c>
      <c r="D36" s="18">
        <f>$C$25</f>
        <v/>
      </c>
    </row>
    <row r="37">
      <c r="A37" s="14" t="inlineStr">
        <is>
          <t>Savings per tub</t>
        </is>
      </c>
      <c r="B37" s="20">
        <f>B36-B35</f>
        <v/>
      </c>
      <c r="C37" s="20">
        <f>C36-C35</f>
        <v/>
      </c>
      <c r="D37" s="20">
        <f>D36-D35</f>
        <v/>
      </c>
    </row>
    <row r="39" ht="18" customHeight="1">
      <c r="A39" s="7" t="inlineStr">
        <is>
          <t>PAYBACK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9" t="inlineStr">
        <is>
          <t>Savings per tub, mix-weighted</t>
        </is>
      </c>
      <c r="B40" s="18">
        <f>IFERROR(($B$23*B37+$B$24*C37+$B$25*D37)/SUM($B$23:$B$25),0)</f>
        <v/>
      </c>
    </row>
    <row r="41">
      <c r="A41" s="9" t="inlineStr">
        <is>
          <t>Annual savings</t>
        </is>
      </c>
      <c r="B41" s="21">
        <f>B40*B20</f>
        <v/>
      </c>
    </row>
    <row r="42">
      <c r="A42" s="9" t="inlineStr">
        <is>
          <t>Total investment (MCE price + installation)</t>
        </is>
      </c>
      <c r="B42" s="22">
        <f>B9+B10</f>
        <v/>
      </c>
    </row>
    <row r="43">
      <c r="A43" s="14" t="inlineStr">
        <is>
          <t>Simple payback (months)</t>
        </is>
      </c>
      <c r="B43" s="23">
        <f>IF(B41&gt;0,12*B42/B41,"No payback")</f>
        <v/>
      </c>
    </row>
    <row r="44">
      <c r="A44" s="9" t="inlineStr">
        <is>
          <t>5-year net savings</t>
        </is>
      </c>
      <c r="B44" s="22">
        <f>5*B41-B42</f>
        <v/>
      </c>
    </row>
    <row r="45">
      <c r="A45" s="9" t="inlineStr">
        <is>
          <t>10-year net savings</t>
        </is>
      </c>
      <c r="B45" s="22">
        <f>10*B41-B42</f>
        <v/>
      </c>
    </row>
    <row r="47">
      <c r="F47" s="24" t="inlineStr">
        <is>
          <t>Helper values</t>
        </is>
      </c>
    </row>
    <row r="48">
      <c r="F48" s="25" t="inlineStr">
        <is>
          <t>Weighted buy price</t>
        </is>
      </c>
      <c r="G48" s="26">
        <f>IFERROR(($B$23*B36+$B$24*C36+$B$25*D36)/SUM($B$23:$B$25),0)</f>
        <v/>
      </c>
    </row>
    <row r="49">
      <c r="F49" s="25" t="inlineStr">
        <is>
          <t>Weighted ingredients</t>
        </is>
      </c>
      <c r="G49" s="26">
        <f>IFERROR(($B$23*B30+$B$24*C30+$B$25*D30)/SUM($B$23:$B$25),0)</f>
        <v/>
      </c>
    </row>
    <row r="50">
      <c r="F50" s="25" t="inlineStr">
        <is>
          <t>Other cost per tub</t>
        </is>
      </c>
      <c r="G50" s="26">
        <f>B31+B32+B33+B34</f>
        <v/>
      </c>
    </row>
    <row r="52" ht="18" customHeight="1">
      <c r="A52" s="7" t="inlineStr">
        <is>
          <t>SENSITIVITY · payback in months if your buy price drops or ingredient costs rise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6" t="inlineStr">
        <is>
          <t>Ingredient cost change ↓  /  Buy price change →</t>
        </is>
      </c>
      <c r="B53" s="27" t="n">
        <v>0</v>
      </c>
      <c r="C53" s="27" t="n">
        <v>-0.05</v>
      </c>
      <c r="D53" s="27" t="n">
        <v>-0.1</v>
      </c>
      <c r="E53" s="27" t="n">
        <v>-0.15</v>
      </c>
      <c r="F53" s="27" t="n">
        <v>-0.2</v>
      </c>
    </row>
    <row r="54">
      <c r="A54" s="27" t="n">
        <v>0</v>
      </c>
      <c r="B54" s="28">
        <f>IF((($G$48*(1+B$53))-($G$49*(1+$A54))-$G$50)*$B$20&lt;=0,"none",12*$B$42/((($G$48*(1+B$53))-($G$49*(1+$A54))-$G$50)*$B$20))</f>
        <v/>
      </c>
      <c r="C54" s="28">
        <f>IF((($G$48*(1+C$53))-($G$49*(1+$A54))-$G$50)*$B$20&lt;=0,"none",12*$B$42/((($G$48*(1+C$53))-($G$49*(1+$A54))-$G$50)*$B$20))</f>
        <v/>
      </c>
      <c r="D54" s="28">
        <f>IF((($G$48*(1+D$53))-($G$49*(1+$A54))-$G$50)*$B$20&lt;=0,"none",12*$B$42/((($G$48*(1+D$53))-($G$49*(1+$A54))-$G$50)*$B$20))</f>
        <v/>
      </c>
      <c r="E54" s="28">
        <f>IF((($G$48*(1+E$53))-($G$49*(1+$A54))-$G$50)*$B$20&lt;=0,"none",12*$B$42/((($G$48*(1+E$53))-($G$49*(1+$A54))-$G$50)*$B$20))</f>
        <v/>
      </c>
      <c r="F54" s="28">
        <f>IF((($G$48*(1+F$53))-($G$49*(1+$A54))-$G$50)*$B$20&lt;=0,"none",12*$B$42/((($G$48*(1+F$53))-($G$49*(1+$A54))-$G$50)*$B$20))</f>
        <v/>
      </c>
    </row>
    <row r="55">
      <c r="A55" s="27" t="n">
        <v>0.05</v>
      </c>
      <c r="B55" s="28">
        <f>IF((($G$48*(1+B$53))-($G$49*(1+$A55))-$G$50)*$B$20&lt;=0,"none",12*$B$42/((($G$48*(1+B$53))-($G$49*(1+$A55))-$G$50)*$B$20))</f>
        <v/>
      </c>
      <c r="C55" s="28">
        <f>IF((($G$48*(1+C$53))-($G$49*(1+$A55))-$G$50)*$B$20&lt;=0,"none",12*$B$42/((($G$48*(1+C$53))-($G$49*(1+$A55))-$G$50)*$B$20))</f>
        <v/>
      </c>
      <c r="D55" s="28">
        <f>IF((($G$48*(1+D$53))-($G$49*(1+$A55))-$G$50)*$B$20&lt;=0,"none",12*$B$42/((($G$48*(1+D$53))-($G$49*(1+$A55))-$G$50)*$B$20))</f>
        <v/>
      </c>
      <c r="E55" s="28">
        <f>IF((($G$48*(1+E$53))-($G$49*(1+$A55))-$G$50)*$B$20&lt;=0,"none",12*$B$42/((($G$48*(1+E$53))-($G$49*(1+$A55))-$G$50)*$B$20))</f>
        <v/>
      </c>
      <c r="F55" s="28">
        <f>IF((($G$48*(1+F$53))-($G$49*(1+$A55))-$G$50)*$B$20&lt;=0,"none",12*$B$42/((($G$48*(1+F$53))-($G$49*(1+$A55))-$G$50)*$B$20))</f>
        <v/>
      </c>
    </row>
    <row r="56">
      <c r="A56" s="27" t="n">
        <v>0.1</v>
      </c>
      <c r="B56" s="28">
        <f>IF((($G$48*(1+B$53))-($G$49*(1+$A56))-$G$50)*$B$20&lt;=0,"none",12*$B$42/((($G$48*(1+B$53))-($G$49*(1+$A56))-$G$50)*$B$20))</f>
        <v/>
      </c>
      <c r="C56" s="28">
        <f>IF((($G$48*(1+C$53))-($G$49*(1+$A56))-$G$50)*$B$20&lt;=0,"none",12*$B$42/((($G$48*(1+C$53))-($G$49*(1+$A56))-$G$50)*$B$20))</f>
        <v/>
      </c>
      <c r="D56" s="28">
        <f>IF((($G$48*(1+D$53))-($G$49*(1+$A56))-$G$50)*$B$20&lt;=0,"none",12*$B$42/((($G$48*(1+D$53))-($G$49*(1+$A56))-$G$50)*$B$20))</f>
        <v/>
      </c>
      <c r="E56" s="28">
        <f>IF((($G$48*(1+E$53))-($G$49*(1+$A56))-$G$50)*$B$20&lt;=0,"none",12*$B$42/((($G$48*(1+E$53))-($G$49*(1+$A56))-$G$50)*$B$20))</f>
        <v/>
      </c>
      <c r="F56" s="28">
        <f>IF((($G$48*(1+F$53))-($G$49*(1+$A56))-$G$50)*$B$20&lt;=0,"none",12*$B$42/((($G$48*(1+F$53))-($G$49*(1+$A56))-$G$50)*$B$20))</f>
        <v/>
      </c>
    </row>
    <row r="57">
      <c r="A57" s="27" t="n">
        <v>0.15</v>
      </c>
      <c r="B57" s="28">
        <f>IF((($G$48*(1+B$53))-($G$49*(1+$A57))-$G$50)*$B$20&lt;=0,"none",12*$B$42/((($G$48*(1+B$53))-($G$49*(1+$A57))-$G$50)*$B$20))</f>
        <v/>
      </c>
      <c r="C57" s="28">
        <f>IF((($G$48*(1+C$53))-($G$49*(1+$A57))-$G$50)*$B$20&lt;=0,"none",12*$B$42/((($G$48*(1+C$53))-($G$49*(1+$A57))-$G$50)*$B$20))</f>
        <v/>
      </c>
      <c r="D57" s="28">
        <f>IF((($G$48*(1+D$53))-($G$49*(1+$A57))-$G$50)*$B$20&lt;=0,"none",12*$B$42/((($G$48*(1+D$53))-($G$49*(1+$A57))-$G$50)*$B$20))</f>
        <v/>
      </c>
      <c r="E57" s="28">
        <f>IF((($G$48*(1+E$53))-($G$49*(1+$A57))-$G$50)*$B$20&lt;=0,"none",12*$B$42/((($G$48*(1+E$53))-($G$49*(1+$A57))-$G$50)*$B$20))</f>
        <v/>
      </c>
      <c r="F57" s="28">
        <f>IF((($G$48*(1+F$53))-($G$49*(1+$A57))-$G$50)*$B$20&lt;=0,"none",12*$B$42/((($G$48*(1+F$53))-($G$49*(1+$A57))-$G$50)*$B$20))</f>
        <v/>
      </c>
    </row>
    <row r="58">
      <c r="A58" s="27" t="n">
        <v>0.2</v>
      </c>
      <c r="B58" s="28">
        <f>IF((($G$48*(1+B$53))-($G$49*(1+$A58))-$G$50)*$B$20&lt;=0,"none",12*$B$42/((($G$48*(1+B$53))-($G$49*(1+$A58))-$G$50)*$B$20))</f>
        <v/>
      </c>
      <c r="C58" s="28">
        <f>IF((($G$48*(1+C$53))-($G$49*(1+$A58))-$G$50)*$B$20&lt;=0,"none",12*$B$42/((($G$48*(1+C$53))-($G$49*(1+$A58))-$G$50)*$B$20))</f>
        <v/>
      </c>
      <c r="D58" s="28">
        <f>IF((($G$48*(1+D$53))-($G$49*(1+$A58))-$G$50)*$B$20&lt;=0,"none",12*$B$42/((($G$48*(1+D$53))-($G$49*(1+$A58))-$G$50)*$B$20))</f>
        <v/>
      </c>
      <c r="E58" s="28">
        <f>IF((($G$48*(1+E$53))-($G$49*(1+$A58))-$G$50)*$B$20&lt;=0,"none",12*$B$42/((($G$48*(1+E$53))-($G$49*(1+$A58))-$G$50)*$B$20))</f>
        <v/>
      </c>
      <c r="F58" s="28">
        <f>IF((($G$48*(1+F$53))-($G$49*(1+$A58))-$G$50)*$B$20&lt;=0,"none",12*$B$42/((($G$48*(1+F$53))-($G$49*(1+$A58))-$G$50)*$B$20))</f>
        <v/>
      </c>
    </row>
    <row r="60">
      <c r="A60" s="6" t="inlineStr">
        <is>
          <t>Example: if your buy price falls 10% and ingredient costs rise 10%, read the cell under −10% on the +10% row.</t>
        </is>
      </c>
    </row>
    <row r="62" ht="18" customHeight="1">
      <c r="A62" s="7" t="inlineStr">
        <is>
          <t>CUMULATIVE CASH POSITION · first 5 years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14" t="inlineStr">
        <is>
          <t>Month</t>
        </is>
      </c>
      <c r="B63" s="14" t="inlineStr">
        <is>
          <t>Cumulative cash ($)</t>
        </is>
      </c>
    </row>
    <row r="64">
      <c r="A64" s="29" t="n">
        <v>0</v>
      </c>
      <c r="B64" s="22">
        <f>-$B$42+$B$41/12*A64</f>
        <v/>
      </c>
    </row>
    <row r="65">
      <c r="A65" s="29" t="n">
        <v>1</v>
      </c>
      <c r="B65" s="22">
        <f>-$B$42+$B$41/12*A65</f>
        <v/>
      </c>
    </row>
    <row r="66">
      <c r="A66" s="29" t="n">
        <v>2</v>
      </c>
      <c r="B66" s="22">
        <f>-$B$42+$B$41/12*A66</f>
        <v/>
      </c>
    </row>
    <row r="67">
      <c r="A67" s="29" t="n">
        <v>3</v>
      </c>
      <c r="B67" s="22">
        <f>-$B$42+$B$41/12*A67</f>
        <v/>
      </c>
    </row>
    <row r="68">
      <c r="A68" s="29" t="n">
        <v>4</v>
      </c>
      <c r="B68" s="22">
        <f>-$B$42+$B$41/12*A68</f>
        <v/>
      </c>
    </row>
    <row r="69">
      <c r="A69" s="29" t="n">
        <v>5</v>
      </c>
      <c r="B69" s="22">
        <f>-$B$42+$B$41/12*A69</f>
        <v/>
      </c>
    </row>
    <row r="70">
      <c r="A70" s="29" t="n">
        <v>6</v>
      </c>
      <c r="B70" s="22">
        <f>-$B$42+$B$41/12*A70</f>
        <v/>
      </c>
    </row>
    <row r="71">
      <c r="A71" s="29" t="n">
        <v>7</v>
      </c>
      <c r="B71" s="22">
        <f>-$B$42+$B$41/12*A71</f>
        <v/>
      </c>
    </row>
    <row r="72">
      <c r="A72" s="29" t="n">
        <v>8</v>
      </c>
      <c r="B72" s="22">
        <f>-$B$42+$B$41/12*A72</f>
        <v/>
      </c>
    </row>
    <row r="73">
      <c r="A73" s="29" t="n">
        <v>9</v>
      </c>
      <c r="B73" s="22">
        <f>-$B$42+$B$41/12*A73</f>
        <v/>
      </c>
    </row>
    <row r="74">
      <c r="A74" s="29" t="n">
        <v>10</v>
      </c>
      <c r="B74" s="22">
        <f>-$B$42+$B$41/12*A74</f>
        <v/>
      </c>
    </row>
    <row r="75">
      <c r="A75" s="29" t="n">
        <v>11</v>
      </c>
      <c r="B75" s="22">
        <f>-$B$42+$B$41/12*A75</f>
        <v/>
      </c>
    </row>
    <row r="76">
      <c r="A76" s="29" t="n">
        <v>12</v>
      </c>
      <c r="B76" s="22">
        <f>-$B$42+$B$41/12*A76</f>
        <v/>
      </c>
    </row>
    <row r="77">
      <c r="A77" s="29" t="n">
        <v>13</v>
      </c>
      <c r="B77" s="22">
        <f>-$B$42+$B$41/12*A77</f>
        <v/>
      </c>
    </row>
    <row r="78">
      <c r="A78" s="29" t="n">
        <v>14</v>
      </c>
      <c r="B78" s="22">
        <f>-$B$42+$B$41/12*A78</f>
        <v/>
      </c>
    </row>
    <row r="79">
      <c r="A79" s="29" t="n">
        <v>15</v>
      </c>
      <c r="B79" s="22">
        <f>-$B$42+$B$41/12*A79</f>
        <v/>
      </c>
    </row>
    <row r="80">
      <c r="A80" s="29" t="n">
        <v>16</v>
      </c>
      <c r="B80" s="22">
        <f>-$B$42+$B$41/12*A80</f>
        <v/>
      </c>
    </row>
    <row r="81">
      <c r="A81" s="29" t="n">
        <v>17</v>
      </c>
      <c r="B81" s="22">
        <f>-$B$42+$B$41/12*A81</f>
        <v/>
      </c>
    </row>
    <row r="82">
      <c r="A82" s="29" t="n">
        <v>18</v>
      </c>
      <c r="B82" s="22">
        <f>-$B$42+$B$41/12*A82</f>
        <v/>
      </c>
    </row>
    <row r="83">
      <c r="A83" s="29" t="n">
        <v>19</v>
      </c>
      <c r="B83" s="22">
        <f>-$B$42+$B$41/12*A83</f>
        <v/>
      </c>
    </row>
    <row r="84">
      <c r="A84" s="29" t="n">
        <v>20</v>
      </c>
      <c r="B84" s="22">
        <f>-$B$42+$B$41/12*A84</f>
        <v/>
      </c>
    </row>
    <row r="85">
      <c r="A85" s="29" t="n">
        <v>21</v>
      </c>
      <c r="B85" s="22">
        <f>-$B$42+$B$41/12*A85</f>
        <v/>
      </c>
    </row>
    <row r="86">
      <c r="A86" s="29" t="n">
        <v>22</v>
      </c>
      <c r="B86" s="22">
        <f>-$B$42+$B$41/12*A86</f>
        <v/>
      </c>
    </row>
    <row r="87">
      <c r="A87" s="29" t="n">
        <v>23</v>
      </c>
      <c r="B87" s="22">
        <f>-$B$42+$B$41/12*A87</f>
        <v/>
      </c>
    </row>
    <row r="88">
      <c r="A88" s="29" t="n">
        <v>24</v>
      </c>
      <c r="B88" s="22">
        <f>-$B$42+$B$41/12*A88</f>
        <v/>
      </c>
    </row>
    <row r="89">
      <c r="A89" s="29" t="n">
        <v>25</v>
      </c>
      <c r="B89" s="22">
        <f>-$B$42+$B$41/12*A89</f>
        <v/>
      </c>
    </row>
    <row r="90">
      <c r="A90" s="29" t="n">
        <v>26</v>
      </c>
      <c r="B90" s="22">
        <f>-$B$42+$B$41/12*A90</f>
        <v/>
      </c>
    </row>
    <row r="91">
      <c r="A91" s="29" t="n">
        <v>27</v>
      </c>
      <c r="B91" s="22">
        <f>-$B$42+$B$41/12*A91</f>
        <v/>
      </c>
    </row>
    <row r="92">
      <c r="A92" s="29" t="n">
        <v>28</v>
      </c>
      <c r="B92" s="22">
        <f>-$B$42+$B$41/12*A92</f>
        <v/>
      </c>
    </row>
    <row r="93">
      <c r="A93" s="29" t="n">
        <v>29</v>
      </c>
      <c r="B93" s="22">
        <f>-$B$42+$B$41/12*A93</f>
        <v/>
      </c>
    </row>
    <row r="94">
      <c r="A94" s="29" t="n">
        <v>30</v>
      </c>
      <c r="B94" s="22">
        <f>-$B$42+$B$41/12*A94</f>
        <v/>
      </c>
    </row>
    <row r="95">
      <c r="A95" s="29" t="n">
        <v>31</v>
      </c>
      <c r="B95" s="22">
        <f>-$B$42+$B$41/12*A95</f>
        <v/>
      </c>
    </row>
    <row r="96">
      <c r="A96" s="29" t="n">
        <v>32</v>
      </c>
      <c r="B96" s="22">
        <f>-$B$42+$B$41/12*A96</f>
        <v/>
      </c>
    </row>
    <row r="97">
      <c r="A97" s="29" t="n">
        <v>33</v>
      </c>
      <c r="B97" s="22">
        <f>-$B$42+$B$41/12*A97</f>
        <v/>
      </c>
    </row>
    <row r="98">
      <c r="A98" s="29" t="n">
        <v>34</v>
      </c>
      <c r="B98" s="22">
        <f>-$B$42+$B$41/12*A98</f>
        <v/>
      </c>
    </row>
    <row r="99">
      <c r="A99" s="29" t="n">
        <v>35</v>
      </c>
      <c r="B99" s="22">
        <f>-$B$42+$B$41/12*A99</f>
        <v/>
      </c>
    </row>
    <row r="100">
      <c r="A100" s="29" t="n">
        <v>36</v>
      </c>
      <c r="B100" s="22">
        <f>-$B$42+$B$41/12*A100</f>
        <v/>
      </c>
    </row>
    <row r="101">
      <c r="A101" s="29" t="n">
        <v>37</v>
      </c>
      <c r="B101" s="22">
        <f>-$B$42+$B$41/12*A101</f>
        <v/>
      </c>
    </row>
    <row r="102">
      <c r="A102" s="29" t="n">
        <v>38</v>
      </c>
      <c r="B102" s="22">
        <f>-$B$42+$B$41/12*A102</f>
        <v/>
      </c>
    </row>
    <row r="103">
      <c r="A103" s="29" t="n">
        <v>39</v>
      </c>
      <c r="B103" s="22">
        <f>-$B$42+$B$41/12*A103</f>
        <v/>
      </c>
    </row>
    <row r="104">
      <c r="A104" s="29" t="n">
        <v>40</v>
      </c>
      <c r="B104" s="22">
        <f>-$B$42+$B$41/12*A104</f>
        <v/>
      </c>
    </row>
    <row r="105">
      <c r="A105" s="29" t="n">
        <v>41</v>
      </c>
      <c r="B105" s="22">
        <f>-$B$42+$B$41/12*A105</f>
        <v/>
      </c>
    </row>
    <row r="106">
      <c r="A106" s="29" t="n">
        <v>42</v>
      </c>
      <c r="B106" s="22">
        <f>-$B$42+$B$41/12*A106</f>
        <v/>
      </c>
    </row>
    <row r="107">
      <c r="A107" s="29" t="n">
        <v>43</v>
      </c>
      <c r="B107" s="22">
        <f>-$B$42+$B$41/12*A107</f>
        <v/>
      </c>
    </row>
    <row r="108">
      <c r="A108" s="29" t="n">
        <v>44</v>
      </c>
      <c r="B108" s="22">
        <f>-$B$42+$B$41/12*A108</f>
        <v/>
      </c>
    </row>
    <row r="109">
      <c r="A109" s="29" t="n">
        <v>45</v>
      </c>
      <c r="B109" s="22">
        <f>-$B$42+$B$41/12*A109</f>
        <v/>
      </c>
    </row>
    <row r="110">
      <c r="A110" s="29" t="n">
        <v>46</v>
      </c>
      <c r="B110" s="22">
        <f>-$B$42+$B$41/12*A110</f>
        <v/>
      </c>
    </row>
    <row r="111">
      <c r="A111" s="29" t="n">
        <v>47</v>
      </c>
      <c r="B111" s="22">
        <f>-$B$42+$B$41/12*A111</f>
        <v/>
      </c>
    </row>
    <row r="112">
      <c r="A112" s="29" t="n">
        <v>48</v>
      </c>
      <c r="B112" s="22">
        <f>-$B$42+$B$41/12*A112</f>
        <v/>
      </c>
    </row>
    <row r="113">
      <c r="A113" s="29" t="n">
        <v>49</v>
      </c>
      <c r="B113" s="22">
        <f>-$B$42+$B$41/12*A113</f>
        <v/>
      </c>
    </row>
    <row r="114">
      <c r="A114" s="29" t="n">
        <v>50</v>
      </c>
      <c r="B114" s="22">
        <f>-$B$42+$B$41/12*A114</f>
        <v/>
      </c>
    </row>
    <row r="115">
      <c r="A115" s="29" t="n">
        <v>51</v>
      </c>
      <c r="B115" s="22">
        <f>-$B$42+$B$41/12*A115</f>
        <v/>
      </c>
    </row>
    <row r="116">
      <c r="A116" s="29" t="n">
        <v>52</v>
      </c>
      <c r="B116" s="22">
        <f>-$B$42+$B$41/12*A116</f>
        <v/>
      </c>
    </row>
    <row r="117">
      <c r="A117" s="29" t="n">
        <v>53</v>
      </c>
      <c r="B117" s="22">
        <f>-$B$42+$B$41/12*A117</f>
        <v/>
      </c>
    </row>
    <row r="118">
      <c r="A118" s="29" t="n">
        <v>54</v>
      </c>
      <c r="B118" s="22">
        <f>-$B$42+$B$41/12*A118</f>
        <v/>
      </c>
    </row>
    <row r="119">
      <c r="A119" s="29" t="n">
        <v>55</v>
      </c>
      <c r="B119" s="22">
        <f>-$B$42+$B$41/12*A119</f>
        <v/>
      </c>
    </row>
    <row r="120">
      <c r="A120" s="29" t="n">
        <v>56</v>
      </c>
      <c r="B120" s="22">
        <f>-$B$42+$B$41/12*A120</f>
        <v/>
      </c>
    </row>
    <row r="121">
      <c r="A121" s="29" t="n">
        <v>57</v>
      </c>
      <c r="B121" s="22">
        <f>-$B$42+$B$41/12*A121</f>
        <v/>
      </c>
    </row>
    <row r="122">
      <c r="A122" s="29" t="n">
        <v>58</v>
      </c>
      <c r="B122" s="22">
        <f>-$B$42+$B$41/12*A122</f>
        <v/>
      </c>
    </row>
    <row r="123">
      <c r="A123" s="29" t="n">
        <v>59</v>
      </c>
      <c r="B123" s="22">
        <f>-$B$42+$B$41/12*A123</f>
        <v/>
      </c>
    </row>
    <row r="124">
      <c r="A124" s="29" t="n">
        <v>60</v>
      </c>
      <c r="B124" s="22">
        <f>-$B$42+$B$41/12*A124</f>
        <v/>
      </c>
    </row>
  </sheetData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4" customWidth="1" min="5" max="5"/>
    <col width="4" customWidth="1" min="6" max="6"/>
  </cols>
  <sheetData>
    <row r="1" ht="20" customHeight="1">
      <c r="A1" s="1" t="n"/>
      <c r="B1" s="1" t="n"/>
      <c r="C1" s="1" t="n"/>
      <c r="D1" s="1" t="n"/>
      <c r="E1" s="1" t="n"/>
      <c r="F1" s="2" t="inlineStr">
        <is>
          <t>ESTIMATED FORMULATIONS</t>
        </is>
      </c>
    </row>
    <row r="2" ht="20" customHeight="1">
      <c r="A2" s="1" t="n"/>
      <c r="B2" s="1" t="n"/>
      <c r="C2" s="1" t="n"/>
      <c r="D2" s="1" t="n"/>
      <c r="E2" s="1" t="n"/>
      <c r="F2" s="3" t="inlineStr">
        <is>
          <t>4 TPH COOKED TUB PLANT — VAN BUREN, ARKANSAS</t>
        </is>
      </c>
    </row>
    <row r="3" ht="20" customHeight="1">
      <c r="A3" s="1" t="n"/>
      <c r="B3" s="1" t="n"/>
      <c r="C3" s="1" t="n"/>
      <c r="D3" s="1" t="n"/>
      <c r="E3" s="1" t="n"/>
      <c r="F3" s="4" t="inlineStr">
        <is>
          <t>Ref. proposal MCE-Q-2610-FCO-R1 · October 20, 2026</t>
        </is>
      </c>
    </row>
    <row r="4" ht="4" customHeight="1">
      <c r="A4" s="5" t="n"/>
      <c r="B4" s="5" t="n"/>
      <c r="C4" s="5" t="n"/>
      <c r="D4" s="5" t="n"/>
      <c r="E4" s="5" t="n"/>
      <c r="F4" s="5" t="n"/>
    </row>
    <row r="6">
      <c r="A6" s="6" t="inlineStr">
        <is>
          <t>Illustrative batch formulas built to the guaranteed analysis on comparable RangeLand labels. Your nutritionist sets final formulas. Edit prices and percentages in the yellow cells.</t>
        </is>
      </c>
    </row>
    <row r="8" ht="18" customHeight="1">
      <c r="A8" s="7" t="inlineStr">
        <is>
          <t>INGREDIENTS</t>
        </is>
      </c>
      <c r="B8" s="8" t="n"/>
      <c r="C8" s="8" t="n"/>
      <c r="D8" s="8" t="n"/>
      <c r="E8" s="8" t="n"/>
      <c r="F8" s="8" t="n"/>
    </row>
    <row r="9">
      <c r="A9" s="14" t="inlineStr">
        <is>
          <t>Ingredient</t>
        </is>
      </c>
      <c r="B9" s="14" t="inlineStr">
        <is>
          <t>Delivered $/ton</t>
        </is>
      </c>
      <c r="C9" s="14" t="inlineStr">
        <is>
          <t>30-13 type</t>
        </is>
      </c>
      <c r="D9" s="14" t="inlineStr">
        <is>
          <t>38 HI-E type</t>
        </is>
      </c>
      <c r="E9" s="14" t="inlineStr">
        <is>
          <t>17 +Mag type</t>
        </is>
      </c>
    </row>
    <row r="10">
      <c r="A10" s="9" t="inlineStr">
        <is>
          <t>Cane molasses</t>
        </is>
      </c>
      <c r="B10" s="10" t="n">
        <v>240</v>
      </c>
      <c r="C10" s="13" t="n">
        <v>0.52</v>
      </c>
      <c r="D10" s="13" t="n">
        <v>0.445</v>
      </c>
      <c r="E10" s="13" t="n">
        <v>0.52</v>
      </c>
    </row>
    <row r="11">
      <c r="A11" s="9" t="inlineStr">
        <is>
          <t>Soybean meal 48%</t>
        </is>
      </c>
      <c r="B11" s="10" t="n">
        <v>340</v>
      </c>
      <c r="C11" s="13" t="n">
        <v>0.1</v>
      </c>
      <c r="D11" s="13" t="n">
        <v>0.09</v>
      </c>
      <c r="E11" s="13" t="n">
        <v>0.12</v>
      </c>
    </row>
    <row r="12">
      <c r="A12" s="9" t="inlineStr">
        <is>
          <t>Cottonseed meal 41%</t>
        </is>
      </c>
      <c r="B12" s="10" t="n">
        <v>320</v>
      </c>
      <c r="C12" s="13" t="n">
        <v>0.08</v>
      </c>
      <c r="D12" s="13" t="n">
        <v>0.07000000000000001</v>
      </c>
      <c r="E12" s="13" t="n">
        <v>0.06</v>
      </c>
    </row>
    <row r="13">
      <c r="A13" s="9" t="inlineStr">
        <is>
          <t>Feather meal</t>
        </is>
      </c>
      <c r="B13" s="10" t="n">
        <v>550</v>
      </c>
      <c r="C13" s="13" t="n">
        <v>0.06</v>
      </c>
      <c r="D13" s="13" t="n">
        <v>0.06</v>
      </c>
      <c r="E13" s="13" t="n">
        <v>0.04</v>
      </c>
    </row>
    <row r="14">
      <c r="A14" s="9" t="inlineStr">
        <is>
          <t>Distillers grains (DDGS)</t>
        </is>
      </c>
      <c r="B14" s="10" t="n">
        <v>190</v>
      </c>
      <c r="C14" s="13" t="n">
        <v>0.03</v>
      </c>
      <c r="D14" s="13" t="n">
        <v>0.03</v>
      </c>
      <c r="E14" s="13" t="n">
        <v>0.06</v>
      </c>
    </row>
    <row r="15">
      <c r="A15" s="9" t="inlineStr">
        <is>
          <t>Urea, feed grade</t>
        </is>
      </c>
      <c r="B15" s="10" t="n">
        <v>550</v>
      </c>
      <c r="C15" s="13" t="n">
        <v>0.046</v>
      </c>
      <c r="D15" s="13" t="n">
        <v>0.07099999999999999</v>
      </c>
      <c r="E15" s="13" t="n">
        <v>0</v>
      </c>
    </row>
    <row r="16">
      <c r="A16" s="9" t="inlineStr">
        <is>
          <t>Fat, animal or vegetable</t>
        </is>
      </c>
      <c r="B16" s="10" t="n">
        <v>1000</v>
      </c>
      <c r="C16" s="13" t="n">
        <v>0.04</v>
      </c>
      <c r="D16" s="13" t="n">
        <v>0.11</v>
      </c>
      <c r="E16" s="13" t="n">
        <v>0.04</v>
      </c>
    </row>
    <row r="17">
      <c r="A17" s="9" t="inlineStr">
        <is>
          <t>Dicalcium phosphate</t>
        </is>
      </c>
      <c r="B17" s="10" t="n">
        <v>850</v>
      </c>
      <c r="C17" s="13" t="n">
        <v>0.055</v>
      </c>
      <c r="D17" s="13" t="n">
        <v>0.055</v>
      </c>
      <c r="E17" s="13" t="n">
        <v>0.055</v>
      </c>
    </row>
    <row r="18">
      <c r="A18" s="9" t="inlineStr">
        <is>
          <t>Monocalcium phosphate</t>
        </is>
      </c>
      <c r="B18" s="10" t="n">
        <v>900</v>
      </c>
      <c r="C18" s="13" t="n">
        <v>0.015</v>
      </c>
      <c r="D18" s="13" t="n">
        <v>0.015</v>
      </c>
      <c r="E18" s="13" t="n">
        <v>0.015</v>
      </c>
    </row>
    <row r="19">
      <c r="A19" s="9" t="inlineStr">
        <is>
          <t>Calcium carbonate</t>
        </is>
      </c>
      <c r="B19" s="10" t="n">
        <v>60</v>
      </c>
      <c r="C19" s="13" t="n">
        <v>0.015</v>
      </c>
      <c r="D19" s="13" t="n">
        <v>0.015</v>
      </c>
      <c r="E19" s="13" t="n">
        <v>0.005</v>
      </c>
    </row>
    <row r="20">
      <c r="A20" s="9" t="inlineStr">
        <is>
          <t>Magnesium oxide</t>
        </is>
      </c>
      <c r="B20" s="10" t="n">
        <v>750</v>
      </c>
      <c r="C20" s="13" t="n">
        <v>0.019</v>
      </c>
      <c r="D20" s="13" t="n">
        <v>0.019</v>
      </c>
      <c r="E20" s="13" t="n">
        <v>0.065</v>
      </c>
    </row>
    <row r="21">
      <c r="A21" s="9" t="inlineStr">
        <is>
          <t>Sodium hydroxide 50%</t>
        </is>
      </c>
      <c r="B21" s="10" t="n">
        <v>700</v>
      </c>
      <c r="C21" s="13" t="n">
        <v>0.005</v>
      </c>
      <c r="D21" s="13" t="n">
        <v>0.005</v>
      </c>
      <c r="E21" s="13" t="n">
        <v>0.005</v>
      </c>
    </row>
    <row r="22">
      <c r="A22" s="9" t="inlineStr">
        <is>
          <t>Trace mineral / vitamin premix</t>
        </is>
      </c>
      <c r="B22" s="10" t="n">
        <v>2000</v>
      </c>
      <c r="C22" s="13" t="n">
        <v>0.015</v>
      </c>
      <c r="D22" s="13" t="n">
        <v>0.015</v>
      </c>
      <c r="E22" s="13" t="n">
        <v>0.015</v>
      </c>
    </row>
    <row r="23">
      <c r="A23" s="6" t="inlineStr">
        <is>
          <t>Batch total (should be 100%)</t>
        </is>
      </c>
      <c r="C23" s="16">
        <f>SUM(C10:C22)</f>
        <v/>
      </c>
      <c r="D23" s="16">
        <f>SUM(D10:D22)</f>
        <v/>
      </c>
      <c r="E23" s="16">
        <f>SUM(E10:E22)</f>
        <v/>
      </c>
    </row>
    <row r="24">
      <c r="A24" s="14" t="inlineStr">
        <is>
          <t>Ingredients per tub ($)</t>
        </is>
      </c>
      <c r="C24" s="20">
        <f>IFERROR(C26*Payback!$B$12/2000,0)</f>
        <v/>
      </c>
      <c r="D24" s="20">
        <f>IFERROR(D26*Payback!$B$12/2000,0)</f>
        <v/>
      </c>
      <c r="E24" s="20">
        <f>IFERROR(E26*Payback!$B$12/2000,0)</f>
        <v/>
      </c>
    </row>
    <row r="25">
      <c r="A25" s="9" t="inlineStr">
        <is>
          <t>Batch cost ($/ton)</t>
        </is>
      </c>
      <c r="C25" s="18">
        <f>SUMPRODUCT($B$10:$B$22,C10:C22)</f>
        <v/>
      </c>
      <c r="D25" s="18">
        <f>SUMPRODUCT($B$10:$B$22,D10:D22)</f>
        <v/>
      </c>
      <c r="E25" s="18">
        <f>SUMPRODUCT($B$10:$B$22,E10:E22)</f>
        <v/>
      </c>
    </row>
    <row r="26">
      <c r="A26" s="9" t="inlineStr">
        <is>
          <t>Finished cost after cook ($/ton)</t>
        </is>
      </c>
      <c r="C26" s="18">
        <f>IFERROR(C25/Payback!$B$19,0)</f>
        <v/>
      </c>
      <c r="D26" s="18">
        <f>IFERROR(D25/Payback!$B$19,0)</f>
        <v/>
      </c>
      <c r="E26" s="18">
        <f>IFERROR(E25/Payback!$B$19,0)</f>
        <v/>
      </c>
    </row>
    <row r="28">
      <c r="A28" s="6" t="inlineStr">
        <is>
          <t>Ingredient prices are delivered estimates for October 2026. Replace with your own purchase prices.</t>
        </is>
      </c>
    </row>
  </sheetData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" t="n"/>
      <c r="B1" s="1" t="n"/>
      <c r="C1" s="1" t="n"/>
      <c r="D1" s="2" t="inlineStr">
        <is>
          <t>NOTES</t>
        </is>
      </c>
    </row>
    <row r="2" ht="20" customHeight="1">
      <c r="A2" s="1" t="n"/>
      <c r="B2" s="1" t="n"/>
      <c r="C2" s="1" t="n"/>
      <c r="D2" s="3" t="inlineStr">
        <is>
          <t>4 TPH COOKED TUB PLANT — VAN BUREN, ARKANSAS</t>
        </is>
      </c>
    </row>
    <row r="3" ht="20" customHeight="1">
      <c r="A3" s="1" t="n"/>
      <c r="B3" s="1" t="n"/>
      <c r="C3" s="1" t="n"/>
      <c r="D3" s="4" t="inlineStr">
        <is>
          <t>Ref. proposal MCE-Q-2610-FCO-R1 · October 20, 2026</t>
        </is>
      </c>
    </row>
    <row r="4" ht="4" customHeight="1">
      <c r="A4" s="5" t="n"/>
      <c r="B4" s="5" t="n"/>
      <c r="C4" s="5" t="n"/>
      <c r="D4" s="5" t="n"/>
    </row>
    <row r="6" ht="30" customHeight="1">
      <c r="A6" s="30" t="inlineStr">
        <is>
          <t>This calculator is a budgeting tool prepared by Midwest Custom Engineering, Inc. for Farmers Cooperative.</t>
        </is>
      </c>
    </row>
    <row r="7" ht="30" customHeight="1">
      <c r="A7" s="30" t="inlineStr">
        <is>
          <t>Formulations are illustrative, built to the guaranteed analysis on comparable published labels. A ruminant nutritionist sets the final formulas during FEED.</t>
        </is>
      </c>
    </row>
    <row r="8" ht="30" customHeight="1">
      <c r="A8" s="30" t="inlineStr">
        <is>
          <t>Ingredient prices are delivered estimates for October 2026. Replace them with your own purchase prices.</t>
        </is>
      </c>
    </row>
    <row r="9" ht="30" customHeight="1">
      <c r="A9" s="30" t="inlineStr">
        <is>
          <t>Default buy prices are assumptions. Retail for a 225 lb RangeLand 30-13 tub ran $125–$200 in October 2026 (NRS, Tractor Supply).</t>
        </is>
      </c>
    </row>
    <row r="10" ht="30" customHeight="1">
      <c r="A10" s="30" t="inlineStr">
        <is>
          <t>Results exclude building work, utilities to the plant, working capital and taxes. Enter installation on the Payback tab.</t>
        </is>
      </c>
    </row>
    <row r="11" ht="30" customHeight="1">
      <c r="A11" s="30" t="inlineStr">
        <is>
          <t>Payback uses the annual average; peak-season months run ahead of it.</t>
        </is>
      </c>
    </row>
    <row r="12" ht="30" customHeight="1">
      <c r="A12" s="30" t="inlineStr">
        <is>
          <t>Questions: Jason Shipley, President · jason@usemce.com · 772-200-4060 · cell 620-200-9109</t>
        </is>
      </c>
    </row>
  </sheetData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2026-10-20T21:55:53Z</dcterms:created>
  <dcterms:modified xsi:type="dcterms:W3CDTF">2026-10-20T21:55:53Z</dcterms:modified>
</cp:coreProperties>
</file>
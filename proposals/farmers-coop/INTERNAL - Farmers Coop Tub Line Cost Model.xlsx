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ustomer ROI" sheetId="2" state="visible" r:id="rId2"/>
    <sheet name="Inputs" sheetId="3" state="visible" r:id="rId3"/>
    <sheet name="Cost Bui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;($#,##0);-"/>
    <numFmt numFmtId="165" formatCode="0.0%;(0.0%);-"/>
    <numFmt numFmtId="166" formatCode="#,##0;(#,##0);-"/>
    <numFmt numFmtId="167" formatCode="$#,##0.00;($#,##0.00);-"/>
    <numFmt numFmtId="168" formatCode="0.0%"/>
    <numFmt numFmtId="169" formatCode="0.0&quot; yrs&quot;"/>
    <numFmt numFmtId="170" formatCode="0.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</font>
    <font>
      <name val="Arial"/>
      <b val="1"/>
    </font>
    <font>
      <name val="Arial"/>
    </font>
    <font>
      <name val="Arial"/>
      <color rgb="000000FF"/>
    </font>
    <font>
      <name val="Arial"/>
      <i val="1"/>
      <color rgb="00595959"/>
    </font>
    <font>
      <name val="Arial"/>
      <b val="1"/>
      <color rgb="00FFFFFF"/>
    </font>
    <font>
      <name val="Arial"/>
      <color rgb="00008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3" borderId="0" pivotButton="0" quotePrefix="0" xfId="0"/>
    <xf numFmtId="0" fontId="4" fillId="0" borderId="0" pivotButton="0" quotePrefix="0" xfId="0"/>
    <xf numFmtId="164" fontId="8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4" fontId="5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6" fillId="0" borderId="0" pivotButton="0" quotePrefix="0" xfId="0"/>
    <xf numFmtId="164" fontId="3" fillId="2" borderId="0" pivotButton="0" quotePrefix="0" xfId="0"/>
    <xf numFmtId="165" fontId="6" fillId="0" borderId="0" pivotButton="0" quotePrefix="0" xfId="0"/>
    <xf numFmtId="165" fontId="3" fillId="2" borderId="0" pivotButton="0" quotePrefix="0" xfId="0"/>
    <xf numFmtId="165" fontId="5" fillId="0" borderId="0" pivotButton="0" quotePrefix="0" xfId="0"/>
    <xf numFmtId="166" fontId="8" fillId="0" borderId="0" pivotButton="0" quotePrefix="0" xfId="0"/>
    <xf numFmtId="0" fontId="8" fillId="0" borderId="0" pivotButton="0" quotePrefix="0" xfId="0"/>
    <xf numFmtId="166" fontId="3" fillId="0" borderId="0" pivotButton="0" quotePrefix="0" xfId="0"/>
    <xf numFmtId="166" fontId="5" fillId="2" borderId="0" pivotButton="0" quotePrefix="0" xfId="0"/>
    <xf numFmtId="165" fontId="5" fillId="2" borderId="0" pivotButton="0" quotePrefix="0" xfId="0"/>
    <xf numFmtId="166" fontId="5" fillId="0" borderId="0" pivotButton="0" quotePrefix="0" xfId="0"/>
    <xf numFmtId="0" fontId="7" fillId="3" borderId="0" applyAlignment="1" pivotButton="0" quotePrefix="0" xfId="0">
      <alignment vertical="center" wrapText="1"/>
    </xf>
    <xf numFmtId="0" fontId="5" fillId="0" borderId="0" pivotButton="0" quotePrefix="0" xfId="0"/>
    <xf numFmtId="164" fontId="4" fillId="0" borderId="0" pivotButton="0" quotePrefix="0" xfId="0"/>
    <xf numFmtId="166" fontId="4" fillId="0" borderId="0" pivotButton="0" quotePrefix="0" xfId="0"/>
    <xf numFmtId="164" fontId="8" fillId="0" borderId="0" pivotButton="0" quotePrefix="0" xfId="0"/>
    <xf numFmtId="164" fontId="0" fillId="0" borderId="0" pivotButton="0" quotePrefix="0" xfId="0"/>
    <xf numFmtId="164" fontId="5" fillId="0" borderId="0" pivotButton="0" quotePrefix="0" xfId="0"/>
    <xf numFmtId="164" fontId="3" fillId="0" borderId="0" pivotButton="0" quotePrefix="0" xfId="0"/>
    <xf numFmtId="164" fontId="3" fillId="2" borderId="0" pivotButton="0" quotePrefix="0" xfId="0"/>
    <xf numFmtId="166" fontId="8" fillId="0" borderId="0" pivotButton="0" quotePrefix="0" xfId="0"/>
    <xf numFmtId="166" fontId="3" fillId="0" borderId="0" pivotButton="0" quotePrefix="0" xfId="0"/>
    <xf numFmtId="166" fontId="5" fillId="0" borderId="0" pivotButton="0" quotePrefix="0" xfId="0"/>
    <xf numFmtId="164" fontId="5" fillId="2" borderId="0" pivotButton="0" quotePrefix="0" xfId="0"/>
    <xf numFmtId="167" fontId="5" fillId="0" borderId="0" pivotButton="0" quotePrefix="0" xfId="0"/>
    <xf numFmtId="168" fontId="5" fillId="0" borderId="0" pivotButton="0" quotePrefix="0" xfId="0"/>
    <xf numFmtId="166" fontId="4" fillId="0" borderId="0" pivotButton="0" quotePrefix="0" xfId="0"/>
    <xf numFmtId="167" fontId="4" fillId="0" borderId="0" pivotButton="0" quotePrefix="0" xfId="0"/>
    <xf numFmtId="169" fontId="3" fillId="0" borderId="0" pivotButton="0" quotePrefix="0" xfId="0"/>
    <xf numFmtId="170" fontId="4" fillId="0" borderId="0" pivotButton="0" quotePrefix="0" xfId="0"/>
    <xf numFmtId="164" fontId="4" fillId="0" borderId="0" pivotButton="0" quotePrefix="0" xfId="0"/>
    <xf numFmtId="166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22" customWidth="1" min="3" max="3"/>
    <col width="24" customWidth="1" min="4" max="4"/>
    <col width="20" customWidth="1" min="5" max="5"/>
    <col width="18" customWidth="1" min="6" max="6"/>
  </cols>
  <sheetData>
    <row r="1">
      <c r="A1" s="1" t="inlineStr">
        <is>
          <t>Farmers Cooperative Tub Line - Cost to Price</t>
        </is>
      </c>
    </row>
    <row r="2">
      <c r="A2" s="2" t="inlineStr">
        <is>
          <t>INTERNAL. All costs are MCE budget estimates for review; replace with vendor quotes as they come in.</t>
        </is>
      </c>
    </row>
    <row r="4">
      <c r="A4" s="3" t="inlineStr">
        <is>
          <t>Area</t>
        </is>
      </c>
      <c r="B4" s="3" t="inlineStr">
        <is>
          <t>Cost ($)</t>
        </is>
      </c>
      <c r="C4" s="3" t="inlineStr">
        <is>
          <t>Share of cost</t>
        </is>
      </c>
      <c r="D4" s="3" t="inlineStr">
        <is>
          <t>Sell at target margin ($)</t>
        </is>
      </c>
      <c r="E4" s="3" t="inlineStr">
        <is>
          <t>Proposal price ($)</t>
        </is>
      </c>
      <c r="F4" s="3" t="inlineStr">
        <is>
          <t>Margin at proposal</t>
        </is>
      </c>
    </row>
    <row r="5">
      <c r="A5" s="4" t="inlineStr">
        <is>
          <t>A. Dry ingredients</t>
        </is>
      </c>
      <c r="B5" s="27">
        <f>SUMIFS('Cost Build'!$K$2:$K$35,'Cost Build'!$A$2:$A$35,A5)</f>
        <v/>
      </c>
      <c r="C5" s="6">
        <f>IFERROR(B5/$B$14,0)</f>
        <v/>
      </c>
      <c r="D5" s="28">
        <f>B5*(1+Inputs!$B$12)/(1-Inputs!$B$11)</f>
        <v/>
      </c>
      <c r="E5" s="29" t="n">
        <v>275550</v>
      </c>
      <c r="F5" s="6">
        <f>IFERROR(1-B5*(1+Inputs!$B$12)/E5,0)</f>
        <v/>
      </c>
    </row>
    <row r="6">
      <c r="A6" s="4" t="inlineStr">
        <is>
          <t>B. Molasses</t>
        </is>
      </c>
      <c r="B6" s="27">
        <f>SUMIFS('Cost Build'!$K$2:$K$35,'Cost Build'!$A$2:$A$35,A6)</f>
        <v/>
      </c>
      <c r="C6" s="6">
        <f>IFERROR(B6/$B$14,0)</f>
        <v/>
      </c>
      <c r="D6" s="28">
        <f>B6*(1+Inputs!$B$12)/(1-Inputs!$B$11)</f>
        <v/>
      </c>
      <c r="E6" s="29" t="n">
        <v>149200</v>
      </c>
      <c r="F6" s="6">
        <f>IFERROR(1-B6*(1+Inputs!$B$12)/E6,0)</f>
        <v/>
      </c>
    </row>
    <row r="7">
      <c r="A7" s="4" t="inlineStr">
        <is>
          <t>C. 3-stage cook</t>
        </is>
      </c>
      <c r="B7" s="27">
        <f>SUMIFS('Cost Build'!$K$2:$K$35,'Cost Build'!$A$2:$A$35,A7)</f>
        <v/>
      </c>
      <c r="C7" s="6">
        <f>IFERROR(B7/$B$14,0)</f>
        <v/>
      </c>
      <c r="D7" s="28">
        <f>B7*(1+Inputs!$B$12)/(1-Inputs!$B$11)</f>
        <v/>
      </c>
      <c r="E7" s="29" t="n">
        <v>458045</v>
      </c>
      <c r="F7" s="6">
        <f>IFERROR(1-B7*(1+Inputs!$B$12)/E7,0)</f>
        <v/>
      </c>
    </row>
    <row r="8">
      <c r="A8" s="4" t="inlineStr">
        <is>
          <t>D. Pour turntable</t>
        </is>
      </c>
      <c r="B8" s="27">
        <f>SUMIFS('Cost Build'!$K$2:$K$35,'Cost Build'!$A$2:$A$35,A8)</f>
        <v/>
      </c>
      <c r="C8" s="6">
        <f>IFERROR(B8/$B$14,0)</f>
        <v/>
      </c>
      <c r="D8" s="28">
        <f>B8*(1+Inputs!$B$12)/(1-Inputs!$B$11)</f>
        <v/>
      </c>
      <c r="E8" s="29" t="n">
        <v>121400</v>
      </c>
      <c r="F8" s="6">
        <f>IFERROR(1-B8*(1+Inputs!$B$12)/E8,0)</f>
        <v/>
      </c>
    </row>
    <row r="9">
      <c r="A9" s="4" t="inlineStr">
        <is>
          <t>E. Cure tunnel</t>
        </is>
      </c>
      <c r="B9" s="27">
        <f>SUMIFS('Cost Build'!$K$2:$K$35,'Cost Build'!$A$2:$A$35,A9)</f>
        <v/>
      </c>
      <c r="C9" s="6">
        <f>IFERROR(B9/$B$14,0)</f>
        <v/>
      </c>
      <c r="D9" s="28">
        <f>B9*(1+Inputs!$B$12)/(1-Inputs!$B$11)</f>
        <v/>
      </c>
      <c r="E9" s="29" t="n">
        <v>168125</v>
      </c>
      <c r="F9" s="6">
        <f>IFERROR(1-B9*(1+Inputs!$B$12)/E9,0)</f>
        <v/>
      </c>
    </row>
    <row r="10">
      <c r="A10" s="4" t="inlineStr">
        <is>
          <t>F. Robot and wrap</t>
        </is>
      </c>
      <c r="B10" s="27">
        <f>SUMIFS('Cost Build'!$K$2:$K$35,'Cost Build'!$A$2:$A$35,A10)</f>
        <v/>
      </c>
      <c r="C10" s="6">
        <f>IFERROR(B10/$B$14,0)</f>
        <v/>
      </c>
      <c r="D10" s="28">
        <f>B10*(1+Inputs!$B$12)/(1-Inputs!$B$11)</f>
        <v/>
      </c>
      <c r="E10" s="29" t="n">
        <v>207815</v>
      </c>
      <c r="F10" s="6">
        <f>IFERROR(1-B10*(1+Inputs!$B$12)/E10,0)</f>
        <v/>
      </c>
    </row>
    <row r="11">
      <c r="A11" s="4" t="inlineStr">
        <is>
          <t>G. Controls</t>
        </is>
      </c>
      <c r="B11" s="27">
        <f>SUMIFS('Cost Build'!$K$2:$K$35,'Cost Build'!$A$2:$A$35,A11)</f>
        <v/>
      </c>
      <c r="C11" s="6">
        <f>IFERROR(B11/$B$14,0)</f>
        <v/>
      </c>
      <c r="D11" s="28">
        <f>B11*(1+Inputs!$B$12)/(1-Inputs!$B$11)</f>
        <v/>
      </c>
      <c r="E11" s="29" t="n">
        <v>260745</v>
      </c>
      <c r="F11" s="6">
        <f>IFERROR(1-B11*(1+Inputs!$B$12)/E11,0)</f>
        <v/>
      </c>
    </row>
    <row r="12">
      <c r="A12" s="4" t="inlineStr">
        <is>
          <t>H. Engineering</t>
        </is>
      </c>
      <c r="B12" s="27">
        <f>SUMIFS('Cost Build'!$K$2:$K$35,'Cost Build'!$A$2:$A$35,A12)</f>
        <v/>
      </c>
      <c r="C12" s="6">
        <f>IFERROR(B12/$B$14,0)</f>
        <v/>
      </c>
      <c r="D12" s="28">
        <f>B12*(1+Inputs!$B$12)/(1-Inputs!$B$11)</f>
        <v/>
      </c>
      <c r="E12" s="29" t="n">
        <v>104170</v>
      </c>
      <c r="F12" s="6">
        <f>IFERROR(1-B12*(1+Inputs!$B$12)/E12,0)</f>
        <v/>
      </c>
    </row>
    <row r="13">
      <c r="A13" s="4" t="inlineStr">
        <is>
          <t>I. Start-up services</t>
        </is>
      </c>
      <c r="B13" s="27">
        <f>SUMIFS('Cost Build'!$K$2:$K$35,'Cost Build'!$A$2:$A$35,A13)</f>
        <v/>
      </c>
      <c r="C13" s="6">
        <f>IFERROR(B13/$B$14,0)</f>
        <v/>
      </c>
      <c r="D13" s="28">
        <f>B13*(1+Inputs!$B$12)/(1-Inputs!$B$11)</f>
        <v/>
      </c>
      <c r="E13" s="29" t="n">
        <v>13800</v>
      </c>
      <c r="F13" s="6">
        <f>IFERROR(1-B13*(1+Inputs!$B$12)/E13,0)</f>
        <v/>
      </c>
    </row>
    <row r="14">
      <c r="A14" s="9" t="inlineStr">
        <is>
          <t>Base cost</t>
        </is>
      </c>
      <c r="B14" s="30">
        <f>SUM(B5:B13)</f>
        <v/>
      </c>
      <c r="C14" s="6">
        <f>SUM(C5:C13)</f>
        <v/>
      </c>
      <c r="D14" s="30">
        <f>SUM(D5:D13)</f>
        <v/>
      </c>
      <c r="E14" s="30">
        <f>SUM(E5:E13)</f>
        <v/>
      </c>
      <c r="F14" s="11">
        <f>IFERROR(1-B16/E14,0)</f>
        <v/>
      </c>
    </row>
    <row r="15">
      <c r="A15" s="4" t="inlineStr">
        <is>
          <t>Contingency</t>
        </is>
      </c>
      <c r="B15" s="28">
        <f>B14*Inputs!$B$12</f>
        <v/>
      </c>
      <c r="C15" s="6" t="n"/>
      <c r="D15" s="28" t="n"/>
      <c r="E15" s="12" t="inlineStr">
        <is>
          <t>Proposal area prices per MCE-Q-2610-FCO-R1</t>
        </is>
      </c>
    </row>
    <row r="16">
      <c r="A16" s="9" t="inlineStr">
        <is>
          <t>Total cost with contingency</t>
        </is>
      </c>
      <c r="B16" s="30">
        <f>B14+B15</f>
        <v/>
      </c>
      <c r="C16" s="6" t="n"/>
      <c r="D16" s="28" t="n"/>
    </row>
    <row r="17">
      <c r="A17" s="9" t="inlineStr">
        <is>
          <t>Proposal sell price (R1)</t>
        </is>
      </c>
      <c r="B17" s="31">
        <f>Inputs!$B$13</f>
        <v/>
      </c>
      <c r="C17" s="14">
        <f>"Target-margin price: "&amp;TEXT(B16/(1-Inputs!$B$11),"$#,##0")</f>
        <v/>
      </c>
      <c r="D17" s="28" t="n"/>
    </row>
    <row r="18">
      <c r="A18" s="9" t="inlineStr">
        <is>
          <t>Gross profit</t>
        </is>
      </c>
      <c r="B18" s="30">
        <f>B17-B16</f>
        <v/>
      </c>
      <c r="C18" s="6" t="n"/>
      <c r="D18" s="28" t="n"/>
    </row>
    <row r="19">
      <c r="A19" s="9" t="inlineStr">
        <is>
          <t>Gross margin at proposal price</t>
        </is>
      </c>
      <c r="B19" s="15">
        <f>IFERROR(B18/B17,0)</f>
        <v/>
      </c>
    </row>
    <row r="20">
      <c r="A20" s="9" t="inlineStr">
        <is>
          <t>Margin sensitivity</t>
        </is>
      </c>
    </row>
    <row r="21">
      <c r="A21" s="3" t="inlineStr">
        <is>
          <t>Gross margin</t>
        </is>
      </c>
      <c r="B21" s="3" t="inlineStr">
        <is>
          <t>Sell, with robot ($)</t>
        </is>
      </c>
      <c r="C21" s="3" t="inlineStr">
        <is>
          <t>Sell, manual stacking ($)</t>
        </is>
      </c>
    </row>
    <row r="22">
      <c r="A22" s="16" t="n">
        <v>0.4</v>
      </c>
      <c r="B22" s="28">
        <f>$B$16/(1-A22)</f>
        <v/>
      </c>
      <c r="C22" s="28">
        <f>($B$16-$B$27*(1+Inputs!$B$12)+$B$28*(1+Inputs!$B$12))/(1-A22)</f>
        <v/>
      </c>
    </row>
    <row r="23">
      <c r="A23" s="16" t="n">
        <v>0.45</v>
      </c>
      <c r="B23" s="28">
        <f>$B$16/(1-A23)</f>
        <v/>
      </c>
      <c r="C23" s="28">
        <f>($B$16-$B$27*(1+Inputs!$B$12)+$B$28*(1+Inputs!$B$12))/(1-A23)</f>
        <v/>
      </c>
    </row>
    <row r="24">
      <c r="A24" s="16" t="n">
        <v>0.5</v>
      </c>
      <c r="B24" s="28">
        <f>$B$16/(1-A24)</f>
        <v/>
      </c>
      <c r="C24" s="28">
        <f>($B$16-$B$27*(1+Inputs!$B$12)+$B$28*(1+Inputs!$B$12))/(1-A24)</f>
        <v/>
      </c>
    </row>
    <row r="25">
      <c r="A25" s="16" t="n">
        <v>0.55</v>
      </c>
      <c r="B25" s="28">
        <f>$B$16/(1-A25)</f>
        <v/>
      </c>
      <c r="C25" s="28">
        <f>($B$16-$B$27*(1+Inputs!$B$12)+$B$28*(1+Inputs!$B$12))/(1-A25)</f>
        <v/>
      </c>
    </row>
    <row r="27">
      <c r="A27" t="inlineStr">
        <is>
          <t>Robot cell cost (tagged 'Robot')</t>
        </is>
      </c>
      <c r="B27" s="27">
        <f>SUMIFS('Cost Build'!$K$2:$K$35,'Cost Build'!$M$2:$M$35,"Robot")</f>
        <v/>
      </c>
    </row>
    <row r="28">
      <c r="A28" t="inlineStr">
        <is>
          <t>Manual lift-assist station cost instead</t>
        </is>
      </c>
      <c r="B28" s="29" t="n">
        <v>25000</v>
      </c>
      <c r="C28" s="12" t="inlineStr">
        <is>
          <t>Assumed lift-assist stacking station cost</t>
        </is>
      </c>
    </row>
    <row r="30">
      <c r="A30" s="9" t="inlineStr">
        <is>
          <t>Benchmark check</t>
        </is>
      </c>
    </row>
    <row r="31">
      <c r="A31" t="inlineStr">
        <is>
          <t>Press tub plant, 2022 sell (3 lines)</t>
        </is>
      </c>
      <c r="B31" s="27">
        <f>Inputs!$B$16</f>
        <v/>
      </c>
    </row>
    <row r="32">
      <c r="A32" t="inlineStr">
        <is>
          <t>Escalated to 2026 dollars</t>
        </is>
      </c>
      <c r="B32" s="28">
        <f>B31*(1+Inputs!$B$17)</f>
        <v/>
      </c>
    </row>
    <row r="33">
      <c r="A33" t="inlineStr">
        <is>
          <t>This line's sell as share of benchmark</t>
        </is>
      </c>
      <c r="B33" s="6">
        <f>IFERROR(B17/B32,0)</f>
        <v/>
      </c>
    </row>
    <row r="35">
      <c r="A35" s="9" t="inlineStr">
        <is>
          <t>Schedule (speed to start-up)</t>
        </is>
      </c>
    </row>
    <row r="36">
      <c r="A36" t="inlineStr">
        <is>
          <t>Engineering before orders release (wks)</t>
        </is>
      </c>
      <c r="B36" s="32">
        <f>Inputs!$B$20</f>
        <v/>
      </c>
    </row>
    <row r="37">
      <c r="A37" t="inlineStr">
        <is>
          <t>Longest equipment lead time (wks)</t>
        </is>
      </c>
      <c r="B37" s="32">
        <f>MAX('Cost Build'!$L$2:$L$35)</f>
        <v/>
      </c>
    </row>
    <row r="38">
      <c r="A38" t="inlineStr">
        <is>
          <t>Longest-lead item</t>
        </is>
      </c>
      <c r="B38" s="18">
        <f>INDEX('Cost Build'!$B$2:$B$35,MATCH(B37,'Cost Build'!$L$2:$L$35,0))</f>
        <v/>
      </c>
    </row>
    <row r="39">
      <c r="A39" t="inlineStr">
        <is>
          <t>Installation + commissioning (wks)</t>
        </is>
      </c>
      <c r="B39" s="32">
        <f>Inputs!$B$21+Inputs!$B$22</f>
        <v/>
      </c>
    </row>
    <row r="40">
      <c r="A40" s="9" t="inlineStr">
        <is>
          <t>Order to start-up (wks)</t>
        </is>
      </c>
      <c r="B40" s="33">
        <f>B36+B37+B39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Farmers Cooperative - Make vs Buy ROI</t>
        </is>
      </c>
    </row>
    <row r="2">
      <c r="A2" s="2" t="inlineStr">
        <is>
          <t>Blue = assumption. Replace buy price and ingredient cost with Farmers Cooperative's actual numbers.</t>
        </is>
      </c>
    </row>
    <row r="4">
      <c r="A4" s="3" t="inlineStr">
        <is>
          <t>Input</t>
        </is>
      </c>
      <c r="B4" s="3" t="inlineStr">
        <is>
          <t>Base case</t>
        </is>
      </c>
      <c r="C4" s="3" t="inlineStr">
        <is>
          <t>Conservative</t>
        </is>
      </c>
      <c r="D4" s="3" t="inlineStr">
        <is>
          <t>Notes</t>
        </is>
      </c>
    </row>
    <row r="5">
      <c r="A5" s="4" t="inlineStr">
        <is>
          <t>Line price ($)</t>
        </is>
      </c>
      <c r="B5" s="29" t="n">
        <v>1758850</v>
      </c>
      <c r="C5" s="29" t="n">
        <v>1758850</v>
      </c>
      <c r="D5" s="12" t="inlineStr">
        <is>
          <t>Proposal MCE-Q-2610-FCO-R1 sell price</t>
        </is>
      </c>
    </row>
    <row r="6">
      <c r="A6" s="4" t="inlineStr">
        <is>
          <t>Annual volume (tons)</t>
        </is>
      </c>
      <c r="B6" s="34" t="n">
        <v>5000</v>
      </c>
      <c r="C6" s="34" t="n">
        <v>5000</v>
      </c>
      <c r="D6" s="12" t="inlineStr">
        <is>
          <t>Per Jason: ~5,000 tons/yr total</t>
        </is>
      </c>
    </row>
    <row r="7">
      <c r="A7" s="4" t="inlineStr">
        <is>
          <t>Tub size (lb)</t>
        </is>
      </c>
      <c r="B7" s="34" t="n">
        <v>225</v>
      </c>
      <c r="C7" s="34" t="n">
        <v>225</v>
      </c>
      <c r="D7" s="12" t="inlineStr">
        <is>
          <t>225 lb equivalent tubs</t>
        </is>
      </c>
    </row>
    <row r="8">
      <c r="A8" s="4" t="inlineStr">
        <is>
          <t>Current buy price per tub ($)</t>
        </is>
      </c>
      <c r="B8" s="35" t="n">
        <v>115</v>
      </c>
      <c r="C8" s="35" t="n">
        <v>100.05</v>
      </c>
      <c r="D8" s="12" t="inlineStr">
        <is>
          <t>ASSUMED, mix-weighted (30-13 $115, 38 HI-E $125, 17 +Mag $105); conservative 13% lower</t>
        </is>
      </c>
    </row>
    <row r="9">
      <c r="A9" s="4" t="inlineStr">
        <is>
          <t>Blended ingredient cost ($/ton)</t>
        </is>
      </c>
      <c r="B9" s="29" t="n">
        <v>458.9</v>
      </c>
      <c r="C9" s="29" t="n">
        <v>504.79</v>
      </c>
      <c r="D9" s="12" t="inlineStr">
        <is>
          <t>Finished cost from estimated formulas, mix-weighted 50/25/25; conservative +10%</t>
        </is>
      </c>
    </row>
    <row r="10">
      <c r="A10" s="4" t="inlineStr">
        <is>
          <t>Tub, lid and label ($/tub)</t>
        </is>
      </c>
      <c r="B10" s="29" t="n">
        <v>14</v>
      </c>
      <c r="C10" s="29" t="n">
        <v>15</v>
      </c>
      <c r="D10" s="12" t="inlineStr">
        <is>
          <t>ASSUMED plastic 225 lb tub</t>
        </is>
      </c>
    </row>
    <row r="11">
      <c r="A11" s="4" t="inlineStr">
        <is>
          <t>Operators on line</t>
        </is>
      </c>
      <c r="B11" s="34" t="n">
        <v>4</v>
      </c>
      <c r="C11" s="34" t="n">
        <v>4</v>
      </c>
      <c r="D11" s="12" t="inlineStr">
        <is>
          <t>One shift</t>
        </is>
      </c>
    </row>
    <row r="12">
      <c r="A12" s="4" t="inlineStr">
        <is>
          <t>Loaded labor rate ($/hr)</t>
        </is>
      </c>
      <c r="B12" s="29" t="n">
        <v>28</v>
      </c>
      <c r="C12" s="29" t="n">
        <v>28</v>
      </c>
      <c r="D12" s="12" t="inlineStr">
        <is>
          <t>ASSUMED</t>
        </is>
      </c>
    </row>
    <row r="13">
      <c r="A13" s="4" t="inlineStr">
        <is>
          <t>Hours per year per operator</t>
        </is>
      </c>
      <c r="B13" s="34" t="n">
        <v>2080</v>
      </c>
      <c r="C13" s="34" t="n">
        <v>2080</v>
      </c>
      <c r="D13" s="12" t="inlineStr">
        <is>
          <t>One shift, full year</t>
        </is>
      </c>
    </row>
    <row r="14">
      <c r="A14" s="4" t="inlineStr">
        <is>
          <t>Energy ($/tub)</t>
        </is>
      </c>
      <c r="B14" s="36" t="n">
        <v>1</v>
      </c>
      <c r="C14" s="36" t="n">
        <v>1.25</v>
      </c>
      <c r="D14" s="12" t="inlineStr">
        <is>
          <t>ASSUMED gas + electric</t>
        </is>
      </c>
    </row>
    <row r="15">
      <c r="A15" s="4" t="inlineStr">
        <is>
          <t>Maintenance (% of line price per yr)</t>
        </is>
      </c>
      <c r="B15" s="37" t="n">
        <v>0.03</v>
      </c>
      <c r="C15" s="37" t="n">
        <v>0.03</v>
      </c>
      <c r="D15" s="12" t="inlineStr">
        <is>
          <t>ASSUMED</t>
        </is>
      </c>
    </row>
    <row r="17">
      <c r="A17" s="9" t="inlineStr">
        <is>
          <t>Results</t>
        </is>
      </c>
    </row>
    <row r="18">
      <c r="A18" s="4" t="inlineStr">
        <is>
          <t>Tubs per year</t>
        </is>
      </c>
      <c r="B18" s="38">
        <f>B6*2000/B7</f>
        <v/>
      </c>
      <c r="C18" s="38">
        <f>C6*2000/C7</f>
        <v/>
      </c>
    </row>
    <row r="19">
      <c r="A19" s="4" t="inlineStr">
        <is>
          <t>Ingredients per tub ($)</t>
        </is>
      </c>
      <c r="B19" s="39">
        <f>B9*B7/2000</f>
        <v/>
      </c>
      <c r="C19" s="39">
        <f>C9*C7/2000</f>
        <v/>
      </c>
    </row>
    <row r="20">
      <c r="A20" s="4" t="inlineStr">
        <is>
          <t>Labor per tub ($)</t>
        </is>
      </c>
      <c r="B20" s="39">
        <f>IFERROR(B11*B12*B13/B18,0)</f>
        <v/>
      </c>
      <c r="C20" s="39">
        <f>IFERROR(C11*C12*C13/C18,0)</f>
        <v/>
      </c>
    </row>
    <row r="21">
      <c r="A21" s="4" t="inlineStr">
        <is>
          <t>Maintenance per tub ($)</t>
        </is>
      </c>
      <c r="B21" s="39">
        <f>IFERROR(B5*B15/B18,0)</f>
        <v/>
      </c>
      <c r="C21" s="39">
        <f>IFERROR(C5*C15/C18,0)</f>
        <v/>
      </c>
    </row>
    <row r="22">
      <c r="A22" s="4" t="inlineStr">
        <is>
          <t>Cost to make per tub ($)</t>
        </is>
      </c>
      <c r="B22" s="39">
        <f>B19+B10+B20+B14+B21</f>
        <v/>
      </c>
      <c r="C22" s="39">
        <f>C19+C10+C20+C14+C21</f>
        <v/>
      </c>
    </row>
    <row r="23">
      <c r="A23" s="4" t="inlineStr">
        <is>
          <t>Savings per tub vs buying ($)</t>
        </is>
      </c>
      <c r="B23" s="39">
        <f>B8-B22</f>
        <v/>
      </c>
      <c r="C23" s="39">
        <f>C8-C22</f>
        <v/>
      </c>
    </row>
    <row r="24">
      <c r="A24" s="4" t="inlineStr">
        <is>
          <t>Annual savings ($)</t>
        </is>
      </c>
      <c r="B24" s="30">
        <f>B23*B18</f>
        <v/>
      </c>
      <c r="C24" s="30">
        <f>C23*C18</f>
        <v/>
      </c>
    </row>
    <row r="25">
      <c r="A25" s="4" t="inlineStr">
        <is>
          <t>Simple payback (years)</t>
        </is>
      </c>
      <c r="B25" s="40">
        <f>IFERROR(B5/B24,0)</f>
        <v/>
      </c>
      <c r="C25" s="40">
        <f>IFERROR(C5/C24,0)</f>
        <v/>
      </c>
    </row>
    <row r="26">
      <c r="A26" s="4" t="inlineStr">
        <is>
          <t>Simple payback (months)</t>
        </is>
      </c>
      <c r="B26" s="41">
        <f>IFERROR(12*B5/B24,0)</f>
        <v/>
      </c>
      <c r="C26" s="41">
        <f>IFERROR(12*C5/C24,0)</f>
        <v/>
      </c>
    </row>
    <row r="27">
      <c r="A27" s="4" t="inlineStr">
        <is>
          <t>5-year net savings ($)</t>
        </is>
      </c>
      <c r="B27" s="42">
        <f>5*B24-B5</f>
        <v/>
      </c>
      <c r="C27" s="42">
        <f>5*C24-C5</f>
        <v/>
      </c>
    </row>
    <row r="28">
      <c r="A28" s="4" t="inlineStr">
        <is>
          <t>Break-even tubs per year</t>
        </is>
      </c>
      <c r="B28" s="38">
        <f>IFERROR(B5/B23,0)</f>
        <v/>
      </c>
      <c r="C28" s="38">
        <f>IFERROR(C5/C23,0)</f>
        <v/>
      </c>
    </row>
    <row r="30">
      <c r="A30" s="12" t="inlineStr">
        <is>
          <t>Sources: retail price check - https://nrsworld.com/products/30-13-cooked-plastic-protein-tub ; https://tractorsupply.com/tsc/product/purina-rangeland-30-13-beef-cattle-protein-tub-225-pound-(225-lb)-tub-225-lb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70" customWidth="1" min="3" max="3"/>
  </cols>
  <sheetData>
    <row r="1">
      <c r="A1" s="1" t="inlineStr">
        <is>
          <t>Farmers Cooperative Tub Line - Cost Model Inputs</t>
        </is>
      </c>
    </row>
    <row r="2">
      <c r="A2" s="2" t="inlineStr">
        <is>
          <t>INTERNAL - MCE cost basis. Blue = editable input. Yellow = key assumption to confirm.</t>
        </is>
      </c>
    </row>
    <row r="4">
      <c r="A4" s="9" t="inlineStr">
        <is>
          <t>Labor rates ($/hr, burdened cost)</t>
        </is>
      </c>
    </row>
    <row r="5">
      <c r="A5" s="4" t="inlineStr">
        <is>
          <t>Shop</t>
        </is>
      </c>
      <c r="B5" s="43" t="n">
        <v>65</v>
      </c>
      <c r="C5" s="12" t="inlineStr">
        <is>
          <t>Assumed MCE shop fabrication cost rate - confirm</t>
        </is>
      </c>
    </row>
    <row r="6">
      <c r="A6" s="4" t="inlineStr">
        <is>
          <t>Eng</t>
        </is>
      </c>
      <c r="B6" s="43" t="n">
        <v>95</v>
      </c>
      <c r="C6" s="12" t="inlineStr">
        <is>
          <t>Assumed engineering/design cost rate - confirm</t>
        </is>
      </c>
    </row>
    <row r="7">
      <c r="A7" s="4" t="inlineStr">
        <is>
          <t>Controls</t>
        </is>
      </c>
      <c r="B7" s="43" t="n">
        <v>110</v>
      </c>
      <c r="C7" s="12" t="inlineStr">
        <is>
          <t>Assumed controls programming/integration cost rate - confirm</t>
        </is>
      </c>
    </row>
    <row r="8">
      <c r="A8" s="4" t="inlineStr">
        <is>
          <t>Field</t>
        </is>
      </c>
      <c r="B8" s="43" t="n">
        <v>70</v>
      </c>
      <c r="C8" s="12" t="inlineStr">
        <is>
          <t>Assumed field install crew cost rate - confirm</t>
        </is>
      </c>
    </row>
    <row r="10">
      <c r="A10" s="9" t="inlineStr">
        <is>
          <t>Pricing</t>
        </is>
      </c>
    </row>
    <row r="11">
      <c r="A11" s="4" t="inlineStr">
        <is>
          <t>Target gross margin</t>
        </is>
      </c>
      <c r="B11" s="21" t="n">
        <v>0.5</v>
      </c>
      <c r="C11" s="12" t="inlineStr">
        <is>
          <t>Per Jason: custom systems priced at 50% margin (sell = 2x cost)</t>
        </is>
      </c>
    </row>
    <row r="12">
      <c r="A12" s="4" t="inlineStr">
        <is>
          <t>Contingency on cost</t>
        </is>
      </c>
      <c r="B12" s="16" t="n">
        <v>0.05</v>
      </c>
      <c r="C12" s="12" t="inlineStr">
        <is>
          <t>Covers scope growth before FEED fixes the design</t>
        </is>
      </c>
    </row>
    <row r="13">
      <c r="A13" s="4" t="inlineStr">
        <is>
          <t>Proposal sell price</t>
        </is>
      </c>
      <c r="B13" s="29" t="n">
        <v>1758850</v>
      </c>
      <c r="C13" s="12" t="inlineStr">
        <is>
          <t>Proposal MCE-Q-2610-FCO-R1, Oct 20 2026: equipment, engineering, start-up; installation and freight by others</t>
        </is>
      </c>
    </row>
    <row r="15">
      <c r="A15" s="9" t="inlineStr">
        <is>
          <t>Benchmark: previous press tub plant</t>
        </is>
      </c>
    </row>
    <row r="16">
      <c r="A16" s="4" t="inlineStr">
        <is>
          <t>2022 sell price (3 press lines)</t>
        </is>
      </c>
      <c r="B16" s="29" t="n">
        <v>1300000</v>
      </c>
      <c r="C16" s="12" t="inlineStr">
        <is>
          <t>Per Jason: approx. $1.3M in 2022; 3 press lines</t>
        </is>
      </c>
    </row>
    <row r="17">
      <c r="A17" s="4" t="inlineStr">
        <is>
          <t>Escalation 2022 to 2026</t>
        </is>
      </c>
      <c r="B17" s="21" t="n">
        <v>0.18</v>
      </c>
      <c r="C17" s="12" t="inlineStr">
        <is>
          <t>Assumed steel/labor/equipment inflation 2022-2026 - confirm</t>
        </is>
      </c>
    </row>
    <row r="19">
      <c r="A19" s="9" t="inlineStr">
        <is>
          <t>Schedule (weeks)</t>
        </is>
      </c>
    </row>
    <row r="20">
      <c r="A20" s="4" t="inlineStr">
        <is>
          <t>FEED + detailed engineering</t>
        </is>
      </c>
      <c r="B20" s="34" t="n">
        <v>8</v>
      </c>
      <c r="C20" s="12" t="inlineStr">
        <is>
          <t>Assumed; runs before long-lead orders release</t>
        </is>
      </c>
    </row>
    <row r="21">
      <c r="A21" s="4" t="inlineStr">
        <is>
          <t>Installation (by others)</t>
        </is>
      </c>
      <c r="B21" s="34" t="n">
        <v>6</v>
      </c>
      <c r="C21" s="12" t="inlineStr">
        <is>
          <t>Customer contractor; drives start-up date</t>
        </is>
      </c>
    </row>
    <row r="22">
      <c r="A22" s="4" t="inlineStr">
        <is>
          <t>Commissioning and training</t>
        </is>
      </c>
      <c r="B22" s="34" t="n">
        <v>2</v>
      </c>
      <c r="C22" s="12" t="inlineStr">
        <is>
          <t>Assumed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48" customWidth="1" min="2" max="2"/>
    <col width="9" customWidth="1" min="3" max="3"/>
    <col width="6" customWidth="1" min="4" max="4"/>
    <col width="14" customWidth="1" min="5" max="5"/>
    <col width="10" customWidth="1" min="6" max="6"/>
    <col width="10" customWidth="1" min="7" max="7"/>
    <col width="13" customWidth="1" min="8" max="8"/>
    <col width="10" customWidth="1" min="9" max="9"/>
    <col width="12" customWidth="1" min="10" max="10"/>
    <col width="14" customWidth="1" min="11" max="11"/>
    <col width="10" customWidth="1" min="12" max="12"/>
    <col width="10" customWidth="1" min="13" max="13"/>
    <col width="52" customWidth="1" min="14" max="14"/>
  </cols>
  <sheetData>
    <row r="1" ht="32" customHeight="1">
      <c r="A1" s="23" t="inlineStr">
        <is>
          <t>Area</t>
        </is>
      </c>
      <c r="B1" s="23" t="inlineStr">
        <is>
          <t>Item</t>
        </is>
      </c>
      <c r="C1" s="23" t="inlineStr">
        <is>
          <t>Type</t>
        </is>
      </c>
      <c r="D1" s="23" t="inlineStr">
        <is>
          <t>Qty</t>
        </is>
      </c>
      <c r="E1" s="23" t="inlineStr">
        <is>
          <t>Unit material / buyout ($)</t>
        </is>
      </c>
      <c r="F1" s="23" t="inlineStr">
        <is>
          <t>Labor hrs / unit</t>
        </is>
      </c>
      <c r="G1" s="23" t="inlineStr">
        <is>
          <t>Labor class</t>
        </is>
      </c>
      <c r="H1" s="23" t="inlineStr">
        <is>
          <t>Material ($)</t>
        </is>
      </c>
      <c r="I1" s="23" t="inlineStr">
        <is>
          <t>Labor hrs</t>
        </is>
      </c>
      <c r="J1" s="23" t="inlineStr">
        <is>
          <t>Labor ($)</t>
        </is>
      </c>
      <c r="K1" s="23" t="inlineStr">
        <is>
          <t>Total cost ($)</t>
        </is>
      </c>
      <c r="L1" s="23" t="inlineStr">
        <is>
          <t>Lead time (wks)</t>
        </is>
      </c>
      <c r="M1" s="23" t="inlineStr">
        <is>
          <t>Option tag</t>
        </is>
      </c>
      <c r="N1" s="23" t="inlineStr">
        <is>
          <t>Notes</t>
        </is>
      </c>
    </row>
    <row r="2">
      <c r="A2" s="4" t="inlineStr">
        <is>
          <t>A. Dry ingredients</t>
        </is>
      </c>
      <c r="B2" s="4" t="inlineStr">
        <is>
          <t>Tote unloader frame, hopper and metering screw</t>
        </is>
      </c>
      <c r="C2" s="4" t="inlineStr">
        <is>
          <t>Fab</t>
        </is>
      </c>
      <c r="D2" s="34" t="n">
        <v>5</v>
      </c>
      <c r="E2" s="29" t="n">
        <v>6000</v>
      </c>
      <c r="F2" s="34" t="n">
        <v>60</v>
      </c>
      <c r="G2" s="24" t="inlineStr">
        <is>
          <t>Shop</t>
        </is>
      </c>
      <c r="H2" s="42">
        <f>D2*E2</f>
        <v/>
      </c>
      <c r="I2" s="38">
        <f>D2*F2</f>
        <v/>
      </c>
      <c r="J2" s="42">
        <f>IFERROR(I2*INDEX(Inputs!$B$5:$B$8,MATCH(G2,Inputs!$A$5:$A$8,0)),0)</f>
        <v/>
      </c>
      <c r="K2" s="42">
        <f>H2+J2</f>
        <v/>
      </c>
      <c r="L2" s="34" t="n">
        <v>10</v>
      </c>
      <c r="M2" s="24" t="n"/>
      <c r="N2" s="12" t="inlineStr">
        <is>
          <t>Example row: MCE-built; qty x unit material + qty x hrs x shop rate</t>
        </is>
      </c>
    </row>
    <row r="3">
      <c r="A3" s="4" t="inlineStr">
        <is>
          <t>A. Dry ingredients</t>
        </is>
      </c>
      <c r="B3" s="4" t="inlineStr">
        <is>
          <t>Load cells and weight controller per unloader</t>
        </is>
      </c>
      <c r="C3" s="4" t="inlineStr">
        <is>
          <t>Buyout</t>
        </is>
      </c>
      <c r="D3" s="34" t="n">
        <v>5</v>
      </c>
      <c r="E3" s="29" t="n">
        <v>4000</v>
      </c>
      <c r="F3" s="34" t="n">
        <v>0</v>
      </c>
      <c r="G3" s="24" t="n"/>
      <c r="H3" s="42">
        <f>D3*E3</f>
        <v/>
      </c>
      <c r="I3" s="38">
        <f>D3*F3</f>
        <v/>
      </c>
      <c r="J3" s="42">
        <f>IFERROR(I3*INDEX(Inputs!$B$5:$B$8,MATCH(G3,Inputs!$A$5:$A$8,0)),0)</f>
        <v/>
      </c>
      <c r="K3" s="42">
        <f>H3+J3</f>
        <v/>
      </c>
      <c r="L3" s="34" t="n">
        <v>4</v>
      </c>
      <c r="M3" s="24" t="n"/>
      <c r="N3" s="12" t="inlineStr">
        <is>
          <t>Loss-in-weight on each tote</t>
        </is>
      </c>
    </row>
    <row r="4">
      <c r="A4" s="4" t="inlineStr">
        <is>
          <t>A. Dry ingredients</t>
        </is>
      </c>
      <c r="B4" s="4" t="inlineStr">
        <is>
          <t>Hoist and trolley per unloader</t>
        </is>
      </c>
      <c r="C4" s="4" t="inlineStr">
        <is>
          <t>Buyout</t>
        </is>
      </c>
      <c r="D4" s="34" t="n">
        <v>5</v>
      </c>
      <c r="E4" s="29" t="n">
        <v>3000</v>
      </c>
      <c r="F4" s="34" t="n">
        <v>0</v>
      </c>
      <c r="G4" s="24" t="n"/>
      <c r="H4" s="42">
        <f>D4*E4</f>
        <v/>
      </c>
      <c r="I4" s="38">
        <f>D4*F4</f>
        <v/>
      </c>
      <c r="J4" s="42">
        <f>IFERROR(I4*INDEX(Inputs!$B$5:$B$8,MATCH(G4,Inputs!$A$5:$A$8,0)),0)</f>
        <v/>
      </c>
      <c r="K4" s="42">
        <f>H4+J4</f>
        <v/>
      </c>
      <c r="L4" s="34" t="n">
        <v>4</v>
      </c>
      <c r="M4" s="24" t="n"/>
      <c r="N4" s="12" t="n"/>
    </row>
    <row r="5">
      <c r="A5" s="4" t="inlineStr">
        <is>
          <t>A. Dry ingredients</t>
        </is>
      </c>
      <c r="B5" s="4" t="inlineStr">
        <is>
          <t>Micro skid feeders (premix + additive)</t>
        </is>
      </c>
      <c r="C5" s="4" t="inlineStr">
        <is>
          <t>Buyout</t>
        </is>
      </c>
      <c r="D5" s="34" t="n">
        <v>2</v>
      </c>
      <c r="E5" s="29" t="n">
        <v>12000</v>
      </c>
      <c r="F5" s="34" t="n">
        <v>0</v>
      </c>
      <c r="G5" s="24" t="n"/>
      <c r="H5" s="42">
        <f>D5*E5</f>
        <v/>
      </c>
      <c r="I5" s="38">
        <f>D5*F5</f>
        <v/>
      </c>
      <c r="J5" s="42">
        <f>IFERROR(I5*INDEX(Inputs!$B$5:$B$8,MATCH(G5,Inputs!$A$5:$A$8,0)),0)</f>
        <v/>
      </c>
      <c r="K5" s="42">
        <f>H5+J5</f>
        <v/>
      </c>
      <c r="L5" s="34" t="n">
        <v>10</v>
      </c>
      <c r="M5" s="24" t="n"/>
      <c r="N5" s="12" t="inlineStr">
        <is>
          <t>Loss-in-weight micro feeders, CPM/Beta Raven or Sudenga class</t>
        </is>
      </c>
    </row>
    <row r="6">
      <c r="A6" s="4" t="inlineStr">
        <is>
          <t>A. Dry ingredients</t>
        </is>
      </c>
      <c r="B6" s="4" t="inlineStr">
        <is>
          <t>Micro skid frame and refill hoppers</t>
        </is>
      </c>
      <c r="C6" s="4" t="inlineStr">
        <is>
          <t>Fab</t>
        </is>
      </c>
      <c r="D6" s="34" t="n">
        <v>1</v>
      </c>
      <c r="E6" s="29" t="n">
        <v>5000</v>
      </c>
      <c r="F6" s="34" t="n">
        <v>100</v>
      </c>
      <c r="G6" s="24" t="inlineStr">
        <is>
          <t>Shop</t>
        </is>
      </c>
      <c r="H6" s="42">
        <f>D6*E6</f>
        <v/>
      </c>
      <c r="I6" s="38">
        <f>D6*F6</f>
        <v/>
      </c>
      <c r="J6" s="42">
        <f>IFERROR(I6*INDEX(Inputs!$B$5:$B$8,MATCH(G6,Inputs!$A$5:$A$8,0)),0)</f>
        <v/>
      </c>
      <c r="K6" s="42">
        <f>H6+J6</f>
        <v/>
      </c>
      <c r="L6" s="34" t="n">
        <v>8</v>
      </c>
      <c r="M6" s="24" t="n"/>
      <c r="N6" s="12" t="n"/>
    </row>
    <row r="7">
      <c r="A7" s="4" t="inlineStr">
        <is>
          <t>A. Dry ingredients</t>
        </is>
      </c>
      <c r="B7" s="4" t="inlineStr">
        <is>
          <t>Collecting screw conveyor to cook</t>
        </is>
      </c>
      <c r="C7" s="4" t="inlineStr">
        <is>
          <t>Fab</t>
        </is>
      </c>
      <c r="D7" s="34" t="n">
        <v>1</v>
      </c>
      <c r="E7" s="29" t="n">
        <v>5000</v>
      </c>
      <c r="F7" s="34" t="n">
        <v>80</v>
      </c>
      <c r="G7" s="24" t="inlineStr">
        <is>
          <t>Shop</t>
        </is>
      </c>
      <c r="H7" s="42">
        <f>D7*E7</f>
        <v/>
      </c>
      <c r="I7" s="38">
        <f>D7*F7</f>
        <v/>
      </c>
      <c r="J7" s="42">
        <f>IFERROR(I7*INDEX(Inputs!$B$5:$B$8,MATCH(G7,Inputs!$A$5:$A$8,0)),0)</f>
        <v/>
      </c>
      <c r="K7" s="42">
        <f>H7+J7</f>
        <v/>
      </c>
      <c r="L7" s="34" t="n">
        <v>6</v>
      </c>
      <c r="M7" s="24" t="n"/>
      <c r="N7" s="12" t="n"/>
    </row>
    <row r="8">
      <c r="A8" s="4" t="inlineStr">
        <is>
          <t>A. Dry ingredients</t>
        </is>
      </c>
      <c r="B8" s="4" t="inlineStr">
        <is>
          <t>Dust pickup / bin vent</t>
        </is>
      </c>
      <c r="C8" s="4" t="inlineStr">
        <is>
          <t>Buyout</t>
        </is>
      </c>
      <c r="D8" s="34" t="n">
        <v>1</v>
      </c>
      <c r="E8" s="29" t="n">
        <v>8000</v>
      </c>
      <c r="F8" s="34" t="n">
        <v>0</v>
      </c>
      <c r="G8" s="24" t="n"/>
      <c r="H8" s="42">
        <f>D8*E8</f>
        <v/>
      </c>
      <c r="I8" s="38">
        <f>D8*F8</f>
        <v/>
      </c>
      <c r="J8" s="42">
        <f>IFERROR(I8*INDEX(Inputs!$B$5:$B$8,MATCH(G8,Inputs!$A$5:$A$8,0)),0)</f>
        <v/>
      </c>
      <c r="K8" s="42">
        <f>H8+J8</f>
        <v/>
      </c>
      <c r="L8" s="34" t="n">
        <v>6</v>
      </c>
      <c r="M8" s="24" t="n"/>
      <c r="N8" s="12" t="n"/>
    </row>
    <row r="9">
      <c r="A9" s="4" t="inlineStr">
        <is>
          <t>B. Molasses</t>
        </is>
      </c>
      <c r="B9" s="4" t="inlineStr">
        <is>
          <t>Heated, insulated molasses tank (10-12k gal)</t>
        </is>
      </c>
      <c r="C9" s="4" t="inlineStr">
        <is>
          <t>Buyout</t>
        </is>
      </c>
      <c r="D9" s="34" t="n">
        <v>1</v>
      </c>
      <c r="E9" s="29" t="n">
        <v>35000</v>
      </c>
      <c r="F9" s="34" t="n">
        <v>0</v>
      </c>
      <c r="G9" s="24" t="n"/>
      <c r="H9" s="42">
        <f>D9*E9</f>
        <v/>
      </c>
      <c r="I9" s="38">
        <f>D9*F9</f>
        <v/>
      </c>
      <c r="J9" s="42">
        <f>IFERROR(I9*INDEX(Inputs!$B$5:$B$8,MATCH(G9,Inputs!$A$5:$A$8,0)),0)</f>
        <v/>
      </c>
      <c r="K9" s="42">
        <f>H9+J9</f>
        <v/>
      </c>
      <c r="L9" s="34" t="n">
        <v>12</v>
      </c>
      <c r="M9" s="24" t="n"/>
      <c r="N9" s="12" t="n"/>
    </row>
    <row r="10">
      <c r="A10" s="4" t="inlineStr">
        <is>
          <t>B. Molasses</t>
        </is>
      </c>
      <c r="B10" s="4" t="inlineStr">
        <is>
          <t>Unload and transfer pumps</t>
        </is>
      </c>
      <c r="C10" s="4" t="inlineStr">
        <is>
          <t>Buyout</t>
        </is>
      </c>
      <c r="D10" s="34" t="n">
        <v>2</v>
      </c>
      <c r="E10" s="29" t="n">
        <v>7000</v>
      </c>
      <c r="F10" s="34" t="n">
        <v>0</v>
      </c>
      <c r="G10" s="24" t="n"/>
      <c r="H10" s="42">
        <f>D10*E10</f>
        <v/>
      </c>
      <c r="I10" s="38">
        <f>D10*F10</f>
        <v/>
      </c>
      <c r="J10" s="42">
        <f>IFERROR(I10*INDEX(Inputs!$B$5:$B$8,MATCH(G10,Inputs!$A$5:$A$8,0)),0)</f>
        <v/>
      </c>
      <c r="K10" s="42">
        <f>H10+J10</f>
        <v/>
      </c>
      <c r="L10" s="34" t="n">
        <v>6</v>
      </c>
      <c r="M10" s="24" t="n"/>
      <c r="N10" s="12" t="n"/>
    </row>
    <row r="11">
      <c r="A11" s="4" t="inlineStr">
        <is>
          <t>B. Molasses</t>
        </is>
      </c>
      <c r="B11" s="4" t="inlineStr">
        <is>
          <t>Molasses flow meter</t>
        </is>
      </c>
      <c r="C11" s="4" t="inlineStr">
        <is>
          <t>Buyout</t>
        </is>
      </c>
      <c r="D11" s="34" t="n">
        <v>1</v>
      </c>
      <c r="E11" s="29" t="n">
        <v>8000</v>
      </c>
      <c r="F11" s="34" t="n">
        <v>0</v>
      </c>
      <c r="G11" s="24" t="n"/>
      <c r="H11" s="42">
        <f>D11*E11</f>
        <v/>
      </c>
      <c r="I11" s="38">
        <f>D11*F11</f>
        <v/>
      </c>
      <c r="J11" s="42">
        <f>IFERROR(I11*INDEX(Inputs!$B$5:$B$8,MATCH(G11,Inputs!$A$5:$A$8,0)),0)</f>
        <v/>
      </c>
      <c r="K11" s="42">
        <f>H11+J11</f>
        <v/>
      </c>
      <c r="L11" s="34" t="n">
        <v>8</v>
      </c>
      <c r="M11" s="24" t="n"/>
      <c r="N11" s="12" t="n"/>
    </row>
    <row r="12">
      <c r="A12" s="4" t="inlineStr">
        <is>
          <t>B. Molasses</t>
        </is>
      </c>
      <c r="B12" s="4" t="inlineStr">
        <is>
          <t>Molasses piping, valves, heat tracing</t>
        </is>
      </c>
      <c r="C12" s="4" t="inlineStr">
        <is>
          <t>Fab</t>
        </is>
      </c>
      <c r="D12" s="34" t="n">
        <v>1</v>
      </c>
      <c r="E12" s="29" t="n">
        <v>10000</v>
      </c>
      <c r="F12" s="34" t="n">
        <v>120</v>
      </c>
      <c r="G12" s="24" t="inlineStr">
        <is>
          <t>Shop</t>
        </is>
      </c>
      <c r="H12" s="42">
        <f>D12*E12</f>
        <v/>
      </c>
      <c r="I12" s="38">
        <f>D12*F12</f>
        <v/>
      </c>
      <c r="J12" s="42">
        <f>IFERROR(I12*INDEX(Inputs!$B$5:$B$8,MATCH(G12,Inputs!$A$5:$A$8,0)),0)</f>
        <v/>
      </c>
      <c r="K12" s="42">
        <f>H12+J12</f>
        <v/>
      </c>
      <c r="L12" s="34" t="n">
        <v>4</v>
      </c>
      <c r="M12" s="24" t="n"/>
      <c r="N12" s="12" t="n"/>
    </row>
    <row r="13">
      <c r="A13" s="4" t="inlineStr">
        <is>
          <t>C. 3-stage cook</t>
        </is>
      </c>
      <c r="B13" s="4" t="inlineStr">
        <is>
          <t>Jacketed auger / mixing conveyor stage (SS304)</t>
        </is>
      </c>
      <c r="C13" s="4" t="inlineStr">
        <is>
          <t>Fab</t>
        </is>
      </c>
      <c r="D13" s="34" t="n">
        <v>3</v>
      </c>
      <c r="E13" s="29" t="n">
        <v>18000</v>
      </c>
      <c r="F13" s="34" t="n">
        <v>220</v>
      </c>
      <c r="G13" s="24" t="inlineStr">
        <is>
          <t>Shop</t>
        </is>
      </c>
      <c r="H13" s="42">
        <f>D13*E13</f>
        <v/>
      </c>
      <c r="I13" s="38">
        <f>D13*F13</f>
        <v/>
      </c>
      <c r="J13" s="42">
        <f>IFERROR(I13*INDEX(Inputs!$B$5:$B$8,MATCH(G13,Inputs!$A$5:$A$8,0)),0)</f>
        <v/>
      </c>
      <c r="K13" s="42">
        <f>H13+J13</f>
        <v/>
      </c>
      <c r="L13" s="34" t="n">
        <v>14</v>
      </c>
      <c r="M13" s="24" t="n"/>
      <c r="N13" s="12" t="inlineStr">
        <is>
          <t>MCE design; 3 stages</t>
        </is>
      </c>
    </row>
    <row r="14">
      <c r="A14" s="4" t="inlineStr">
        <is>
          <t>C. 3-stage cook</t>
        </is>
      </c>
      <c r="B14" s="4" t="inlineStr">
        <is>
          <t>Gearmotors and drives, cook stages</t>
        </is>
      </c>
      <c r="C14" s="4" t="inlineStr">
        <is>
          <t>Buyout</t>
        </is>
      </c>
      <c r="D14" s="34" t="n">
        <v>3</v>
      </c>
      <c r="E14" s="29" t="n">
        <v>4500</v>
      </c>
      <c r="F14" s="34" t="n">
        <v>0</v>
      </c>
      <c r="G14" s="24" t="n"/>
      <c r="H14" s="42">
        <f>D14*E14</f>
        <v/>
      </c>
      <c r="I14" s="38">
        <f>D14*F14</f>
        <v/>
      </c>
      <c r="J14" s="42">
        <f>IFERROR(I14*INDEX(Inputs!$B$5:$B$8,MATCH(G14,Inputs!$A$5:$A$8,0)),0)</f>
        <v/>
      </c>
      <c r="K14" s="42">
        <f>H14+J14</f>
        <v/>
      </c>
      <c r="L14" s="34" t="n">
        <v>8</v>
      </c>
      <c r="M14" s="24" t="n"/>
      <c r="N14" s="12" t="n"/>
    </row>
    <row r="15">
      <c r="A15" s="4" t="inlineStr">
        <is>
          <t>C. 3-stage cook</t>
        </is>
      </c>
      <c r="B15" s="4" t="inlineStr">
        <is>
          <t>Heat source: packaged hot-oil heater or steam boiler</t>
        </is>
      </c>
      <c r="C15" s="4" t="inlineStr">
        <is>
          <t>Buyout</t>
        </is>
      </c>
      <c r="D15" s="34" t="n">
        <v>1</v>
      </c>
      <c r="E15" s="29" t="n">
        <v>65000</v>
      </c>
      <c r="F15" s="34" t="n">
        <v>0</v>
      </c>
      <c r="G15" s="24" t="n"/>
      <c r="H15" s="42">
        <f>D15*E15</f>
        <v/>
      </c>
      <c r="I15" s="38">
        <f>D15*F15</f>
        <v/>
      </c>
      <c r="J15" s="42">
        <f>IFERROR(I15*INDEX(Inputs!$B$5:$B$8,MATCH(G15,Inputs!$A$5:$A$8,0)),0)</f>
        <v/>
      </c>
      <c r="K15" s="42">
        <f>H15+J15</f>
        <v/>
      </c>
      <c r="L15" s="34" t="n">
        <v>16</v>
      </c>
      <c r="M15" s="24" t="n"/>
      <c r="N15" s="12" t="inlineStr">
        <is>
          <t>Usually the longest lead buyout</t>
        </is>
      </c>
    </row>
    <row r="16">
      <c r="A16" s="4" t="inlineStr">
        <is>
          <t>C. 3-stage cook</t>
        </is>
      </c>
      <c r="B16" s="4" t="inlineStr">
        <is>
          <t>Heating piping and insulation</t>
        </is>
      </c>
      <c r="C16" s="4" t="inlineStr">
        <is>
          <t>Fab</t>
        </is>
      </c>
      <c r="D16" s="34" t="n">
        <v>1</v>
      </c>
      <c r="E16" s="29" t="n">
        <v>8000</v>
      </c>
      <c r="F16" s="34" t="n">
        <v>120</v>
      </c>
      <c r="G16" s="24" t="inlineStr">
        <is>
          <t>Shop</t>
        </is>
      </c>
      <c r="H16" s="42">
        <f>D16*E16</f>
        <v/>
      </c>
      <c r="I16" s="38">
        <f>D16*F16</f>
        <v/>
      </c>
      <c r="J16" s="42">
        <f>IFERROR(I16*INDEX(Inputs!$B$5:$B$8,MATCH(G16,Inputs!$A$5:$A$8,0)),0)</f>
        <v/>
      </c>
      <c r="K16" s="42">
        <f>H16+J16</f>
        <v/>
      </c>
      <c r="L16" s="34" t="n">
        <v>6</v>
      </c>
      <c r="M16" s="24" t="n"/>
      <c r="N16" s="12" t="n"/>
    </row>
    <row r="17">
      <c r="A17" s="4" t="inlineStr">
        <is>
          <t>C. 3-stage cook</t>
        </is>
      </c>
      <c r="B17" s="4" t="inlineStr">
        <is>
          <t>Vapor vent hood and duct</t>
        </is>
      </c>
      <c r="C17" s="4" t="inlineStr">
        <is>
          <t>Fab</t>
        </is>
      </c>
      <c r="D17" s="34" t="n">
        <v>1</v>
      </c>
      <c r="E17" s="29" t="n">
        <v>4000</v>
      </c>
      <c r="F17" s="34" t="n">
        <v>60</v>
      </c>
      <c r="G17" s="24" t="inlineStr">
        <is>
          <t>Shop</t>
        </is>
      </c>
      <c r="H17" s="42">
        <f>D17*E17</f>
        <v/>
      </c>
      <c r="I17" s="38">
        <f>D17*F17</f>
        <v/>
      </c>
      <c r="J17" s="42">
        <f>IFERROR(I17*INDEX(Inputs!$B$5:$B$8,MATCH(G17,Inputs!$A$5:$A$8,0)),0)</f>
        <v/>
      </c>
      <c r="K17" s="42">
        <f>H17+J17</f>
        <v/>
      </c>
      <c r="L17" s="34" t="n">
        <v>6</v>
      </c>
      <c r="M17" s="24" t="n"/>
      <c r="N17" s="12" t="n"/>
    </row>
    <row r="18">
      <c r="A18" s="4" t="inlineStr">
        <is>
          <t>C. 3-stage cook</t>
        </is>
      </c>
      <c r="B18" s="4" t="inlineStr">
        <is>
          <t>Platform, stairs and handrail</t>
        </is>
      </c>
      <c r="C18" s="4" t="inlineStr">
        <is>
          <t>Fab</t>
        </is>
      </c>
      <c r="D18" s="34" t="n">
        <v>1</v>
      </c>
      <c r="E18" s="29" t="n">
        <v>15000</v>
      </c>
      <c r="F18" s="34" t="n">
        <v>240</v>
      </c>
      <c r="G18" s="24" t="inlineStr">
        <is>
          <t>Shop</t>
        </is>
      </c>
      <c r="H18" s="42">
        <f>D18*E18</f>
        <v/>
      </c>
      <c r="I18" s="38">
        <f>D18*F18</f>
        <v/>
      </c>
      <c r="J18" s="42">
        <f>IFERROR(I18*INDEX(Inputs!$B$5:$B$8,MATCH(G18,Inputs!$A$5:$A$8,0)),0)</f>
        <v/>
      </c>
      <c r="K18" s="42">
        <f>H18+J18</f>
        <v/>
      </c>
      <c r="L18" s="34" t="n">
        <v>8</v>
      </c>
      <c r="M18" s="24" t="n"/>
      <c r="N18" s="12" t="n"/>
    </row>
    <row r="19">
      <c r="A19" s="4" t="inlineStr">
        <is>
          <t>D. Pour turntable</t>
        </is>
      </c>
      <c r="B19" s="4" t="inlineStr">
        <is>
          <t>Rotary pour/cure turntable structure</t>
        </is>
      </c>
      <c r="C19" s="4" t="inlineStr">
        <is>
          <t>Fab</t>
        </is>
      </c>
      <c r="D19" s="34" t="n">
        <v>1</v>
      </c>
      <c r="E19" s="29" t="n">
        <v>14000</v>
      </c>
      <c r="F19" s="34" t="n">
        <v>260</v>
      </c>
      <c r="G19" s="24" t="inlineStr">
        <is>
          <t>Shop</t>
        </is>
      </c>
      <c r="H19" s="42">
        <f>D19*E19</f>
        <v/>
      </c>
      <c r="I19" s="38">
        <f>D19*F19</f>
        <v/>
      </c>
      <c r="J19" s="42">
        <f>IFERROR(I19*INDEX(Inputs!$B$5:$B$8,MATCH(G19,Inputs!$A$5:$A$8,0)),0)</f>
        <v/>
      </c>
      <c r="K19" s="42">
        <f>H19+J19</f>
        <v/>
      </c>
      <c r="L19" s="34" t="n">
        <v>12</v>
      </c>
      <c r="M19" s="24" t="n"/>
      <c r="N19" s="12" t="n"/>
    </row>
    <row r="20">
      <c r="A20" s="4" t="inlineStr">
        <is>
          <t>D. Pour turntable</t>
        </is>
      </c>
      <c r="B20" s="4" t="inlineStr">
        <is>
          <t>Slew bearing and indexing drive</t>
        </is>
      </c>
      <c r="C20" s="4" t="inlineStr">
        <is>
          <t>Buyout</t>
        </is>
      </c>
      <c r="D20" s="34" t="n">
        <v>1</v>
      </c>
      <c r="E20" s="29" t="n">
        <v>15000</v>
      </c>
      <c r="F20" s="34" t="n">
        <v>0</v>
      </c>
      <c r="G20" s="24" t="n"/>
      <c r="H20" s="42">
        <f>D20*E20</f>
        <v/>
      </c>
      <c r="I20" s="38">
        <f>D20*F20</f>
        <v/>
      </c>
      <c r="J20" s="42">
        <f>IFERROR(I20*INDEX(Inputs!$B$5:$B$8,MATCH(G20,Inputs!$A$5:$A$8,0)),0)</f>
        <v/>
      </c>
      <c r="K20" s="42">
        <f>H20+J20</f>
        <v/>
      </c>
      <c r="L20" s="34" t="n">
        <v>12</v>
      </c>
      <c r="M20" s="24" t="n"/>
      <c r="N20" s="12" t="n"/>
    </row>
    <row r="21">
      <c r="A21" s="4" t="inlineStr">
        <is>
          <t>D. Pour turntable</t>
        </is>
      </c>
      <c r="B21" s="4" t="inlineStr">
        <is>
          <t>Pour valve and scale platform</t>
        </is>
      </c>
      <c r="C21" s="4" t="inlineStr">
        <is>
          <t>Buyout</t>
        </is>
      </c>
      <c r="D21" s="34" t="n">
        <v>1</v>
      </c>
      <c r="E21" s="29" t="n">
        <v>15000</v>
      </c>
      <c r="F21" s="34" t="n">
        <v>0</v>
      </c>
      <c r="G21" s="24" t="n"/>
      <c r="H21" s="42">
        <f>D21*E21</f>
        <v/>
      </c>
      <c r="I21" s="38">
        <f>D21*F21</f>
        <v/>
      </c>
      <c r="J21" s="42">
        <f>IFERROR(I21*INDEX(Inputs!$B$5:$B$8,MATCH(G21,Inputs!$A$5:$A$8,0)),0)</f>
        <v/>
      </c>
      <c r="K21" s="42">
        <f>H21+J21</f>
        <v/>
      </c>
      <c r="L21" s="34" t="n">
        <v>8</v>
      </c>
      <c r="M21" s="24" t="n"/>
      <c r="N21" s="12" t="n"/>
    </row>
    <row r="22">
      <c r="A22" s="4" t="inlineStr">
        <is>
          <t>E. Cure tunnel</t>
        </is>
      </c>
      <c r="B22" s="4" t="inlineStr">
        <is>
          <t>Tunnel conveyor, per 10 ft section</t>
        </is>
      </c>
      <c r="C22" s="4" t="inlineStr">
        <is>
          <t>Fab</t>
        </is>
      </c>
      <c r="D22" s="34" t="n">
        <v>10</v>
      </c>
      <c r="E22" s="29" t="n">
        <v>2500</v>
      </c>
      <c r="F22" s="34" t="n">
        <v>30</v>
      </c>
      <c r="G22" s="24" t="inlineStr">
        <is>
          <t>Shop</t>
        </is>
      </c>
      <c r="H22" s="42">
        <f>D22*E22</f>
        <v/>
      </c>
      <c r="I22" s="38">
        <f>D22*F22</f>
        <v/>
      </c>
      <c r="J22" s="42">
        <f>IFERROR(I22*INDEX(Inputs!$B$5:$B$8,MATCH(G22,Inputs!$A$5:$A$8,0)),0)</f>
        <v/>
      </c>
      <c r="K22" s="42">
        <f>H22+J22</f>
        <v/>
      </c>
      <c r="L22" s="34" t="n">
        <v>10</v>
      </c>
      <c r="M22" s="24" t="n"/>
      <c r="N22" s="12" t="inlineStr">
        <is>
          <t>Qty = tunnel length / 10 ft; length set by cure time in FEED</t>
        </is>
      </c>
    </row>
    <row r="23">
      <c r="A23" s="4" t="inlineStr">
        <is>
          <t>E. Cure tunnel</t>
        </is>
      </c>
      <c r="B23" s="4" t="inlineStr">
        <is>
          <t>Tunnel enclosure panels, per 10 ft section</t>
        </is>
      </c>
      <c r="C23" s="4" t="inlineStr">
        <is>
          <t>Fab</t>
        </is>
      </c>
      <c r="D23" s="34" t="n">
        <v>10</v>
      </c>
      <c r="E23" s="29" t="n">
        <v>1200</v>
      </c>
      <c r="F23" s="34" t="n">
        <v>12</v>
      </c>
      <c r="G23" s="24" t="inlineStr">
        <is>
          <t>Shop</t>
        </is>
      </c>
      <c r="H23" s="42">
        <f>D23*E23</f>
        <v/>
      </c>
      <c r="I23" s="38">
        <f>D23*F23</f>
        <v/>
      </c>
      <c r="J23" s="42">
        <f>IFERROR(I23*INDEX(Inputs!$B$5:$B$8,MATCH(G23,Inputs!$A$5:$A$8,0)),0)</f>
        <v/>
      </c>
      <c r="K23" s="42">
        <f>H23+J23</f>
        <v/>
      </c>
      <c r="L23" s="34" t="n">
        <v>8</v>
      </c>
      <c r="M23" s="24" t="n"/>
      <c r="N23" s="12" t="inlineStr">
        <is>
          <t>Same qty as conveyor sections</t>
        </is>
      </c>
    </row>
    <row r="24">
      <c r="A24" s="4" t="inlineStr">
        <is>
          <t>E. Cure tunnel</t>
        </is>
      </c>
      <c r="B24" s="4" t="inlineStr">
        <is>
          <t>Supply fans</t>
        </is>
      </c>
      <c r="C24" s="4" t="inlineStr">
        <is>
          <t>Buyout</t>
        </is>
      </c>
      <c r="D24" s="34" t="n">
        <v>2</v>
      </c>
      <c r="E24" s="29" t="n">
        <v>5000</v>
      </c>
      <c r="F24" s="34" t="n">
        <v>0</v>
      </c>
      <c r="G24" s="24" t="n"/>
      <c r="H24" s="42">
        <f>D24*E24</f>
        <v/>
      </c>
      <c r="I24" s="38">
        <f>D24*F24</f>
        <v/>
      </c>
      <c r="J24" s="42">
        <f>IFERROR(I24*INDEX(Inputs!$B$5:$B$8,MATCH(G24,Inputs!$A$5:$A$8,0)),0)</f>
        <v/>
      </c>
      <c r="K24" s="42">
        <f>H24+J24</f>
        <v/>
      </c>
      <c r="L24" s="34" t="n">
        <v>8</v>
      </c>
      <c r="M24" s="24" t="n"/>
      <c r="N24" s="12" t="n"/>
    </row>
    <row r="25">
      <c r="A25" s="4" t="inlineStr">
        <is>
          <t>E. Cure tunnel</t>
        </is>
      </c>
      <c r="B25" s="4" t="inlineStr">
        <is>
          <t>Off-gas exhaust fan and stack</t>
        </is>
      </c>
      <c r="C25" s="4" t="inlineStr">
        <is>
          <t>Buyout</t>
        </is>
      </c>
      <c r="D25" s="34" t="n">
        <v>1</v>
      </c>
      <c r="E25" s="29" t="n">
        <v>10000</v>
      </c>
      <c r="F25" s="34" t="n">
        <v>0</v>
      </c>
      <c r="G25" s="24" t="n"/>
      <c r="H25" s="42">
        <f>D25*E25</f>
        <v/>
      </c>
      <c r="I25" s="38">
        <f>D25*F25</f>
        <v/>
      </c>
      <c r="J25" s="42">
        <f>IFERROR(I25*INDEX(Inputs!$B$5:$B$8,MATCH(G25,Inputs!$A$5:$A$8,0)),0)</f>
        <v/>
      </c>
      <c r="K25" s="42">
        <f>H25+J25</f>
        <v/>
      </c>
      <c r="L25" s="34" t="n">
        <v>8</v>
      </c>
      <c r="M25" s="24" t="n"/>
      <c r="N25" s="12" t="n"/>
    </row>
    <row r="26">
      <c r="A26" s="4" t="inlineStr">
        <is>
          <t>F. Robot and wrap</t>
        </is>
      </c>
      <c r="B26" s="4" t="inlineStr">
        <is>
          <t>Robot palletizer with controller (reman FANUC-class)</t>
        </is>
      </c>
      <c r="C26" s="4" t="inlineStr">
        <is>
          <t>Buyout</t>
        </is>
      </c>
      <c r="D26" s="34" t="n">
        <v>1</v>
      </c>
      <c r="E26" s="29" t="n">
        <v>60000</v>
      </c>
      <c r="F26" s="34" t="n">
        <v>0</v>
      </c>
      <c r="G26" s="24" t="n"/>
      <c r="H26" s="42">
        <f>D26*E26</f>
        <v/>
      </c>
      <c r="I26" s="38">
        <f>D26*F26</f>
        <v/>
      </c>
      <c r="J26" s="42">
        <f>IFERROR(I26*INDEX(Inputs!$B$5:$B$8,MATCH(G26,Inputs!$A$5:$A$8,0)),0)</f>
        <v/>
      </c>
      <c r="K26" s="42">
        <f>H26+J26</f>
        <v/>
      </c>
      <c r="L26" s="34" t="n">
        <v>12</v>
      </c>
      <c r="M26" s="24" t="inlineStr">
        <is>
          <t>Robot</t>
        </is>
      </c>
      <c r="N26" s="12" t="inlineStr">
        <is>
          <t>New robot adds roughly $30-50k</t>
        </is>
      </c>
    </row>
    <row r="27">
      <c r="A27" s="4" t="inlineStr">
        <is>
          <t>F. Robot and wrap</t>
        </is>
      </c>
      <c r="B27" s="4" t="inlineStr">
        <is>
          <t>End-of-arm tub gripper</t>
        </is>
      </c>
      <c r="C27" s="4" t="inlineStr">
        <is>
          <t>Fab</t>
        </is>
      </c>
      <c r="D27" s="34" t="n">
        <v>1</v>
      </c>
      <c r="E27" s="29" t="n">
        <v>6000</v>
      </c>
      <c r="F27" s="34" t="n">
        <v>80</v>
      </c>
      <c r="G27" s="24" t="inlineStr">
        <is>
          <t>Shop</t>
        </is>
      </c>
      <c r="H27" s="42">
        <f>D27*E27</f>
        <v/>
      </c>
      <c r="I27" s="38">
        <f>D27*F27</f>
        <v/>
      </c>
      <c r="J27" s="42">
        <f>IFERROR(I27*INDEX(Inputs!$B$5:$B$8,MATCH(G27,Inputs!$A$5:$A$8,0)),0)</f>
        <v/>
      </c>
      <c r="K27" s="42">
        <f>H27+J27</f>
        <v/>
      </c>
      <c r="L27" s="34" t="n">
        <v>6</v>
      </c>
      <c r="M27" s="24" t="inlineStr">
        <is>
          <t>Robot</t>
        </is>
      </c>
      <c r="N27" s="12" t="n"/>
    </row>
    <row r="28">
      <c r="A28" s="4" t="inlineStr">
        <is>
          <t>F. Robot and wrap</t>
        </is>
      </c>
      <c r="B28" s="4" t="inlineStr">
        <is>
          <t>Robot fence, scanners, safety interlocks</t>
        </is>
      </c>
      <c r="C28" s="4" t="inlineStr">
        <is>
          <t>Buyout</t>
        </is>
      </c>
      <c r="D28" s="34" t="n">
        <v>1</v>
      </c>
      <c r="E28" s="29" t="n">
        <v>18000</v>
      </c>
      <c r="F28" s="34" t="n">
        <v>0</v>
      </c>
      <c r="G28" s="24" t="n"/>
      <c r="H28" s="42">
        <f>D28*E28</f>
        <v/>
      </c>
      <c r="I28" s="38">
        <f>D28*F28</f>
        <v/>
      </c>
      <c r="J28" s="42">
        <f>IFERROR(I28*INDEX(Inputs!$B$5:$B$8,MATCH(G28,Inputs!$A$5:$A$8,0)),0)</f>
        <v/>
      </c>
      <c r="K28" s="42">
        <f>H28+J28</f>
        <v/>
      </c>
      <c r="L28" s="34" t="n">
        <v>6</v>
      </c>
      <c r="M28" s="24" t="inlineStr">
        <is>
          <t>Robot</t>
        </is>
      </c>
      <c r="N28" s="12" t="n"/>
    </row>
    <row r="29">
      <c r="A29" s="4" t="inlineStr">
        <is>
          <t>F. Robot and wrap</t>
        </is>
      </c>
      <c r="B29" s="4" t="inlineStr">
        <is>
          <t>Semi-automatic stretch wrapper</t>
        </is>
      </c>
      <c r="C29" s="4" t="inlineStr">
        <is>
          <t>Buyout</t>
        </is>
      </c>
      <c r="D29" s="34" t="n">
        <v>1</v>
      </c>
      <c r="E29" s="29" t="n">
        <v>15000</v>
      </c>
      <c r="F29" s="34" t="n">
        <v>0</v>
      </c>
      <c r="G29" s="24" t="n"/>
      <c r="H29" s="42">
        <f>D29*E29</f>
        <v/>
      </c>
      <c r="I29" s="38">
        <f>D29*F29</f>
        <v/>
      </c>
      <c r="J29" s="42">
        <f>IFERROR(I29*INDEX(Inputs!$B$5:$B$8,MATCH(G29,Inputs!$A$5:$A$8,0)),0)</f>
        <v/>
      </c>
      <c r="K29" s="42">
        <f>H29+J29</f>
        <v/>
      </c>
      <c r="L29" s="34" t="n">
        <v>6</v>
      </c>
      <c r="M29" s="24" t="n"/>
      <c r="N29" s="12" t="n"/>
    </row>
    <row r="30">
      <c r="A30" s="4" t="inlineStr">
        <is>
          <t>G. Controls</t>
        </is>
      </c>
      <c r="B30" s="4" t="inlineStr">
        <is>
          <t>PLC, HMI, VFDs and panel hardware</t>
        </is>
      </c>
      <c r="C30" s="4" t="inlineStr">
        <is>
          <t>Buyout</t>
        </is>
      </c>
      <c r="D30" s="34" t="n">
        <v>1</v>
      </c>
      <c r="E30" s="29" t="n">
        <v>65000</v>
      </c>
      <c r="F30" s="34" t="n">
        <v>0</v>
      </c>
      <c r="G30" s="24" t="n"/>
      <c r="H30" s="42">
        <f>D30*E30</f>
        <v/>
      </c>
      <c r="I30" s="38">
        <f>D30*F30</f>
        <v/>
      </c>
      <c r="J30" s="42">
        <f>IFERROR(I30*INDEX(Inputs!$B$5:$B$8,MATCH(G30,Inputs!$A$5:$A$8,0)),0)</f>
        <v/>
      </c>
      <c r="K30" s="42">
        <f>H30+J30</f>
        <v/>
      </c>
      <c r="L30" s="34" t="n">
        <v>12</v>
      </c>
      <c r="M30" s="24" t="n"/>
      <c r="N30" s="12" t="n"/>
    </row>
    <row r="31">
      <c r="A31" s="4" t="inlineStr">
        <is>
          <t>G. Controls</t>
        </is>
      </c>
      <c r="B31" s="4" t="inlineStr">
        <is>
          <t>Control panel build</t>
        </is>
      </c>
      <c r="C31" s="4" t="inlineStr">
        <is>
          <t>Labor</t>
        </is>
      </c>
      <c r="D31" s="34" t="n">
        <v>1</v>
      </c>
      <c r="E31" s="29" t="n">
        <v>0</v>
      </c>
      <c r="F31" s="34" t="n">
        <v>250</v>
      </c>
      <c r="G31" s="24" t="inlineStr">
        <is>
          <t>Shop</t>
        </is>
      </c>
      <c r="H31" s="42">
        <f>D31*E31</f>
        <v/>
      </c>
      <c r="I31" s="38">
        <f>D31*F31</f>
        <v/>
      </c>
      <c r="J31" s="42">
        <f>IFERROR(I31*INDEX(Inputs!$B$5:$B$8,MATCH(G31,Inputs!$A$5:$A$8,0)),0)</f>
        <v/>
      </c>
      <c r="K31" s="42">
        <f>H31+J31</f>
        <v/>
      </c>
      <c r="L31" s="34" t="n">
        <v>4</v>
      </c>
      <c r="M31" s="24" t="n"/>
      <c r="N31" s="12" t="n"/>
    </row>
    <row r="32">
      <c r="A32" s="4" t="inlineStr">
        <is>
          <t>G. Controls</t>
        </is>
      </c>
      <c r="B32" s="4" t="inlineStr">
        <is>
          <t>PLC/HMI programming and robot integration</t>
        </is>
      </c>
      <c r="C32" s="4" t="inlineStr">
        <is>
          <t>Labor</t>
        </is>
      </c>
      <c r="D32" s="34" t="n">
        <v>1</v>
      </c>
      <c r="E32" s="29" t="n">
        <v>0</v>
      </c>
      <c r="F32" s="34" t="n">
        <v>450</v>
      </c>
      <c r="G32" s="24" t="inlineStr">
        <is>
          <t>Controls</t>
        </is>
      </c>
      <c r="H32" s="42">
        <f>D32*E32</f>
        <v/>
      </c>
      <c r="I32" s="38">
        <f>D32*F32</f>
        <v/>
      </c>
      <c r="J32" s="42">
        <f>IFERROR(I32*INDEX(Inputs!$B$5:$B$8,MATCH(G32,Inputs!$A$5:$A$8,0)),0)</f>
        <v/>
      </c>
      <c r="K32" s="42">
        <f>H32+J32</f>
        <v/>
      </c>
      <c r="L32" s="34" t="n"/>
      <c r="M32" s="24" t="n"/>
      <c r="N32" s="12" t="n"/>
    </row>
    <row r="33">
      <c r="A33" s="4" t="inlineStr">
        <is>
          <t>H. Engineering</t>
        </is>
      </c>
      <c r="B33" s="4" t="inlineStr">
        <is>
          <t>Detailed design, drawings and project management</t>
        </is>
      </c>
      <c r="C33" s="4" t="inlineStr">
        <is>
          <t>Labor</t>
        </is>
      </c>
      <c r="D33" s="34" t="n">
        <v>1</v>
      </c>
      <c r="E33" s="29" t="n">
        <v>0</v>
      </c>
      <c r="F33" s="34" t="n">
        <v>550</v>
      </c>
      <c r="G33" s="24" t="inlineStr">
        <is>
          <t>Eng</t>
        </is>
      </c>
      <c r="H33" s="42">
        <f>D33*E33</f>
        <v/>
      </c>
      <c r="I33" s="38">
        <f>D33*F33</f>
        <v/>
      </c>
      <c r="J33" s="42">
        <f>IFERROR(I33*INDEX(Inputs!$B$5:$B$8,MATCH(G33,Inputs!$A$5:$A$8,0)),0)</f>
        <v/>
      </c>
      <c r="K33" s="42">
        <f>H33+J33</f>
        <v/>
      </c>
      <c r="L33" s="34" t="n"/>
      <c r="M33" s="24" t="n"/>
      <c r="N33" s="12" t="n"/>
    </row>
    <row r="34">
      <c r="A34" s="4" t="inlineStr">
        <is>
          <t>I. Start-up services</t>
        </is>
      </c>
      <c r="B34" s="4" t="inlineStr">
        <is>
          <t>Start-up services: 1 technician, about 5 days on site</t>
        </is>
      </c>
      <c r="C34" s="4" t="inlineStr">
        <is>
          <t>Labor</t>
        </is>
      </c>
      <c r="D34" s="34" t="n">
        <v>1</v>
      </c>
      <c r="E34" s="29" t="n">
        <v>0</v>
      </c>
      <c r="F34" s="34" t="n">
        <v>50</v>
      </c>
      <c r="G34" s="24" t="inlineStr">
        <is>
          <t>Controls</t>
        </is>
      </c>
      <c r="H34" s="42">
        <f>D34*E34</f>
        <v/>
      </c>
      <c r="I34" s="38">
        <f>D34*F34</f>
        <v/>
      </c>
      <c r="J34" s="42">
        <f>IFERROR(I34*INDEX(Inputs!$B$5:$B$8,MATCH(G34,Inputs!$A$5:$A$8,0)),0)</f>
        <v/>
      </c>
      <c r="K34" s="42">
        <f>H34+J34</f>
        <v/>
      </c>
      <c r="L34" s="34" t="n"/>
      <c r="M34" s="24" t="n"/>
      <c r="N34" s="12" t="inlineStr">
        <is>
          <t>Sold at $13,800 fixed (proposal item 34); installation and freight by others</t>
        </is>
      </c>
    </row>
    <row r="35">
      <c r="A35" s="4" t="inlineStr">
        <is>
          <t>I. Start-up services</t>
        </is>
      </c>
      <c r="B35" s="4" t="inlineStr">
        <is>
          <t>Start-up travel and expenses</t>
        </is>
      </c>
      <c r="C35" s="4" t="inlineStr">
        <is>
          <t>Buyout</t>
        </is>
      </c>
      <c r="D35" s="34" t="n">
        <v>1</v>
      </c>
      <c r="E35" s="29" t="n">
        <v>3500</v>
      </c>
      <c r="F35" s="34" t="n">
        <v>0</v>
      </c>
      <c r="G35" s="24" t="n"/>
      <c r="H35" s="42">
        <f>D35*E35</f>
        <v/>
      </c>
      <c r="I35" s="38">
        <f>D35*F35</f>
        <v/>
      </c>
      <c r="J35" s="42">
        <f>IFERROR(I35*INDEX(Inputs!$B$5:$B$8,MATCH(G35,Inputs!$A$5:$A$8,0)),0)</f>
        <v/>
      </c>
      <c r="K35" s="42">
        <f>H35+J35</f>
        <v/>
      </c>
      <c r="L35" s="34" t="n"/>
      <c r="M35" s="24" t="n"/>
      <c r="N35" s="12" t="n"/>
    </row>
    <row r="36">
      <c r="A36" s="9" t="inlineStr">
        <is>
          <t>Total</t>
        </is>
      </c>
      <c r="H36" s="30">
        <f>SUM(H2:H35)</f>
        <v/>
      </c>
      <c r="I36" s="33">
        <f>SUM(I2:I35)</f>
        <v/>
      </c>
      <c r="J36" s="30">
        <f>SUM(J2:J35)</f>
        <v/>
      </c>
      <c r="K36" s="30">
        <f>SUM(K2:K35)</f>
        <v/>
      </c>
    </row>
    <row r="38">
      <c r="A38" s="2" t="inlineStr">
        <is>
          <t>Legend: blue cells are inputs (qty, unit cost, hours, lead time). Labor class pulls the rate from Inputs. Row 2 is the worked example.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2026-10-20T22:52:50Z</dcterms:created>
  <dcterms:modified xsi:type="dcterms:W3CDTF">2026-10-20T22:52:51Z</dcterms:modified>
</cp:coreProperties>
</file>
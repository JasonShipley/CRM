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HMB" sheetId="3" state="visible" r:id="rId5"/>
    <sheet name="Dryer Models" sheetId="4" state="visible" r:id="rId6"/>
    <sheet name="Equipment" sheetId="5" state="visible" r:id="rId7"/>
    <sheet name="Tables" sheetId="6" state="visible" r:id="rId8"/>
    <sheet name="Emissions" sheetId="7" state="visible" r:id="rId9"/>
    <sheet name="Metric" sheetId="8" state="visible" r:id="rId10"/>
    <sheet name="Case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<sst xmlns="http://schemas.openxmlformats.org/spreadsheetml/2006/main" count="597" uniqueCount="439">
  <si>
    <t xml:space="preserve">MCE DRYER HEAT &amp; MASS BALANCE CALCULATOR  ·  Rev A  ·  8 Sep 2026</t>
  </si>
  <si>
    <t xml:space="preserve">What this is: a rebuilt, formula-driven replacement for the calculation half of Prozus report NT-HMB-2025-001 Rev 0 (the Input/CALC/COMB/FLOW/DESIGN/Burner/Emiss. sheets). Every number recalculates from the Inputs sheet. Nothing is pasted.</t>
  </si>
  <si>
    <t xml:space="preserve">It follows MCE's own quoting method (Drying Rates Calculator, Feb 2026 notes): theoretical Btu per lb water from product inlet temperature, 1,750 Btu/lb with losses for a rotary drum, drum airflow at 350 fpm face velocity, 10 in WC fan static, 5,000 fpm duct velocity, and adds a rigorous energy balance beside it so the two can be compared on every job.</t>
  </si>
  <si>
    <t xml:space="preserve">HOW TO USE</t>
  </si>
  <si>
    <t xml:space="preserve">1. Enter the job on the Inputs sheet. Blue cells are inputs; black cells are formulas; green cells pull from another sheet; yellow cells are model data MCE still has to fill in.</t>
  </si>
  <si>
    <t xml:space="preserve">2. Read the HMB sheet: mass balance, MCE duty vs rigorous duty, combustion, airflow, energy closure (must be zero).</t>
  </si>
  <si>
    <t xml:space="preserve">3. Read the Equipment sheet: selected dryer model, burner, fan, duct, cyclone inlet, airlocks, annual fuel.</t>
  </si>
  <si>
    <t xml:space="preserve">4. Metric sheet mirrors the key results in SI units. Emissions sheet gives potential-to-emit.</t>
  </si>
  <si>
    <t xml:space="preserve">5. Dryer Models: single-pass XD Series rows are filled from MCE documents. Triple-pass rows are empty and waiting for MCE drum data. Z8 eight-pass rows carry the ACFM table from the original workbook. A model is selected automatically as the smallest of the chosen type that meets both airflow and evaporation with the design margin.</t>
  </si>
  <si>
    <t xml:space="preserve">WHAT WAS WRONG IN THE ORIGINAL (kept here so it is not repeated)</t>
  </si>
  <si>
    <t xml:space="preserve">- CALC F4:F15, H4, I39:I45, B47, D48 were pasted values from a 9,000 lb/hr-evaporation job while Input said 1,333 lb/hr; burner, fan, duct and emissions were 6.5x too big.</t>
  </si>
  <si>
    <t xml:space="preserve">- The enthalpy 'iteration' for inlet temperature never converged (flag read INLET TEMP IS NOT CORRECT). Replaced by a closed-form gas-mass balance from the chosen inlet temperature.</t>
  </si>
  <si>
    <t xml:space="preserve">- Five different dryer models were named for one case. Replaced by one selection from the model table.</t>
  </si>
  <si>
    <t xml:space="preserve">- Drum hold-up used 1.5 minutes of product. Replaced by residence time input.</t>
  </si>
  <si>
    <t xml:space="preserve">- Cyclone efficiency 99.965% and PM10 = 0.007% of PM. Replaced by inputs with realistic defaults to be confirmed against AP-42.</t>
  </si>
  <si>
    <t xml:space="preserve">- The Prozus rotary dryer / thermal reactor sheets are not carried over: they are on a different basis (35% MC, feed at 100 C, solids to 375 C in the dryer) and their fuel figure is 1.9x high. Their case is recorded on the Cases sheet so it can be rerun here.</t>
  </si>
  <si>
    <t xml:space="preserve">ASSUMPTIONS AND SOURCES</t>
  </si>
  <si>
    <t xml:space="preserve">- 1,750 Btu/lb rotary drum energy factor, 1,500 infrared, 1,875 flash tube: Jason Shipley, Drying Rates Calculator and 7 Feb 2026 meeting notes.</t>
  </si>
  <si>
    <t xml:space="preserve">- Theoretical energy 1.01 x (212 - T_in) + 970.4 Btu/lb: Drying Rates Calculator.</t>
  </si>
  <si>
    <t xml:space="preserve">- Fuel table HHV, density and excess air: original Input sheet F5:I10. Stoichiometric air for dry wood 5.82 lb/lb from the original COMB sheet (C 47.5 / H 5.4 / O 34.7). Other fuels: standard values, see comments.</t>
  </si>
  <si>
    <t xml:space="preserve">- XD-36 Mk.2 3 ft x 20 ft, 2.5 MMBtu/hr burner: MCE quote to LETEK DCG, Mar 2026; overall dims from the Mk.2 brochure. XD-60 Mk.2 5 ft x 30 ft: GA drawing Apr 2026. XD-72 Mk.2 6 ft dia: Feb 2026 notes (length and burner to confirm). XD-96 Mk.1 8 ft x 40 ft, 30 MMBtu/hr max: operating manual Rev 0.0.</t>
  </si>
  <si>
    <t xml:space="preserve">- Z8 eight-pass sizes and ACFM max: original Input sheet K8:L18.</t>
  </si>
  <si>
    <t xml:space="preserve">- Airlock capacities: original DESIGN sheet K8:N19.</t>
  </si>
  <si>
    <t xml:space="preserve">- Emission factors are placeholders marked for confirmation against EPA AP-42 for the actual fuel and material.</t>
  </si>
  <si>
    <t xml:space="preserve">UNITS: imperial throughout; the Metric sheet converts. Moisture contents are wet basis unless labeled otherwise.</t>
  </si>
  <si>
    <t xml:space="preserve">Prepared by MCE Engineering with Claude. Internal tool, not a customer document.</t>
  </si>
  <si>
    <t xml:space="preserve">INPUTS  ·  blue = enter, black = calculated, green = from another sheet</t>
  </si>
  <si>
    <t xml:space="preserve">JOB</t>
  </si>
  <si>
    <t xml:space="preserve">DRYER TYPE</t>
  </si>
  <si>
    <t xml:space="preserve">Energy factor Btu/lb</t>
  </si>
  <si>
    <t xml:space="preserve">Note</t>
  </si>
  <si>
    <t xml:space="preserve">Job / customer</t>
  </si>
  <si>
    <t xml:space="preserve">Example: wood shavings dryer (case from NT-HMB-2025-001 track B)</t>
  </si>
  <si>
    <t xml:space="preserve">Text only</t>
  </si>
  <si>
    <t xml:space="preserve">Material</t>
  </si>
  <si>
    <t xml:space="preserve">Wood shavings</t>
  </si>
  <si>
    <t xml:space="preserve">Single-pass rotary drum</t>
  </si>
  <si>
    <t xml:space="preserve">MCE standard, confirmed J. Shipley 9 Sep 2026</t>
  </si>
  <si>
    <t xml:space="preserve">MATERIAL AND THROUGHPUT</t>
  </si>
  <si>
    <t xml:space="preserve">Triple-pass rotary drum</t>
  </si>
  <si>
    <t xml:space="preserve">Wet feed rate</t>
  </si>
  <si>
    <t xml:space="preserve">lb/hr</t>
  </si>
  <si>
    <t xml:space="preserve">Enter wet feed OR set to =C? from dry product below; this is the governing input</t>
  </si>
  <si>
    <t xml:space="preserve">Z8 eight-pass</t>
  </si>
  <si>
    <t xml:space="preserve">Moisture in, wet basis</t>
  </si>
  <si>
    <t xml:space="preserve">Fraction, e.g. 0.50</t>
  </si>
  <si>
    <t xml:space="preserve">Infrared</t>
  </si>
  <si>
    <t xml:space="preserve">7 Feb 2026 notes</t>
  </si>
  <si>
    <t xml:space="preserve">Moisture out, wet basis</t>
  </si>
  <si>
    <t xml:space="preserve">Flash tube</t>
  </si>
  <si>
    <t xml:space="preserve">1,850–1,900 per notes</t>
  </si>
  <si>
    <t xml:space="preserve">Product temperature in</t>
  </si>
  <si>
    <t xml:space="preserve">°F</t>
  </si>
  <si>
    <t xml:space="preserve">Drying Rates Calculator uses 40 °F for winter feed; 60 °F typical</t>
  </si>
  <si>
    <t xml:space="preserve">Product temperature out</t>
  </si>
  <si>
    <t xml:space="preserve">Dried material discharge temperature</t>
  </si>
  <si>
    <t xml:space="preserve">FUEL TABLE</t>
  </si>
  <si>
    <t xml:space="preserve">Specific heat of dry solids</t>
  </si>
  <si>
    <t xml:space="preserve">Btu/lb·°F</t>
  </si>
  <si>
    <t xml:space="preserve">Dry wood 0.32–0.40; original sheets used 0.55 (wet) and 0.23 (Prozus)</t>
  </si>
  <si>
    <t xml:space="preserve">Fuel</t>
  </si>
  <si>
    <t xml:space="preserve">HHV Btu/lb</t>
  </si>
  <si>
    <t xml:space="preserve">lb/ft³</t>
  </si>
  <si>
    <t xml:space="preserve">Excess air</t>
  </si>
  <si>
    <t xml:space="preserve">Stoich air lb/lb</t>
  </si>
  <si>
    <t xml:space="preserve">H2O lb/lb fuel</t>
  </si>
  <si>
    <t xml:space="preserve">CO2 lb/lb fuel</t>
  </si>
  <si>
    <t xml:space="preserve">Source</t>
  </si>
  <si>
    <t xml:space="preserve">Bulk density, dried product</t>
  </si>
  <si>
    <t xml:space="preserve">Used for airlock and screw sizing</t>
  </si>
  <si>
    <t xml:space="preserve">Natural Gas</t>
  </si>
  <si>
    <t xml:space="preserve">Original Input F6:I6; stoich from original CALC G25</t>
  </si>
  <si>
    <t xml:space="preserve">Bulk density, wet feed</t>
  </si>
  <si>
    <t xml:space="preserve">Propane</t>
  </si>
  <si>
    <t xml:space="preserve">Original Input F8:I8; stoich standard</t>
  </si>
  <si>
    <t xml:space="preserve">Drum residence time</t>
  </si>
  <si>
    <t xml:space="preserve">min</t>
  </si>
  <si>
    <t xml:space="preserve">Hold-up check only; 10–30 min typical single pass</t>
  </si>
  <si>
    <t xml:space="preserve">#2 Fuel Oil</t>
  </si>
  <si>
    <t xml:space="preserve">Original Input F9:I9; stoich standard</t>
  </si>
  <si>
    <t xml:space="preserve">SITE</t>
  </si>
  <si>
    <t xml:space="preserve">Biomass (wet, 8,500)</t>
  </si>
  <si>
    <t xml:space="preserve">Original Input F7:I7 had 200% excess air; reduced to 100%, confirm</t>
  </si>
  <si>
    <t xml:space="preserve">Elevation</t>
  </si>
  <si>
    <t xml:space="preserve">ft</t>
  </si>
  <si>
    <t xml:space="preserve">Dry Wood</t>
  </si>
  <si>
    <t xml:space="preserve">Original Input F10:I10; stoich, H2O, CO2 from original COMB L32, L42+L54, L41</t>
  </si>
  <si>
    <t xml:space="preserve">Ambient temperature</t>
  </si>
  <si>
    <t xml:space="preserve">Biogas 55% CH4</t>
  </si>
  <si>
    <t xml:space="preserve">Placeholder for dual-fuel jobs; enter analysis when known</t>
  </si>
  <si>
    <t xml:space="preserve">Ambient humidity</t>
  </si>
  <si>
    <t xml:space="preserve">lb H2O/lb dry air</t>
  </si>
  <si>
    <t xml:space="preserve">Florida summer ~0.015; original had 0.002</t>
  </si>
  <si>
    <t xml:space="preserve">DRYER AND FUEL</t>
  </si>
  <si>
    <t xml:space="preserve">Dryer type</t>
  </si>
  <si>
    <t xml:space="preserve">Pick from list (dropdown): Single-pass rotary drum, Triple-pass rotary drum, Z8 eight-pass, Infrared, Flash tube</t>
  </si>
  <si>
    <t xml:space="preserve">MCE energy factor</t>
  </si>
  <si>
    <t xml:space="preserve">Btu/lb water</t>
  </si>
  <si>
    <t xml:space="preserve">From the dryer type table at right</t>
  </si>
  <si>
    <t xml:space="preserve">Pick from list (dropdown): see fuel table at right</t>
  </si>
  <si>
    <t xml:space="preserve">Fuel heating value</t>
  </si>
  <si>
    <t xml:space="preserve">Btu/lb</t>
  </si>
  <si>
    <t xml:space="preserve">Excess air at burner</t>
  </si>
  <si>
    <t xml:space="preserve">fraction</t>
  </si>
  <si>
    <t xml:space="preserve">Stoichiometric air</t>
  </si>
  <si>
    <t xml:space="preserve">lb air/lb fuel</t>
  </si>
  <si>
    <t xml:space="preserve">Water formed per lb fuel</t>
  </si>
  <si>
    <t xml:space="preserve">lb H2O/lb fuel</t>
  </si>
  <si>
    <t xml:space="preserve">Includes fuel moisture for wood</t>
  </si>
  <si>
    <t xml:space="preserve">CO2 per lb fuel</t>
  </si>
  <si>
    <t xml:space="preserve">lb/lb fuel</t>
  </si>
  <si>
    <t xml:space="preserve">Dryer inlet gas temperature</t>
  </si>
  <si>
    <t xml:space="preserve">Design choice. 500–700 °F wood shavings; 900–1,200 °F manure/sludge; original iterated to 588 °F</t>
  </si>
  <si>
    <t xml:space="preserve">Dryer exhaust gas temperature</t>
  </si>
  <si>
    <t xml:space="preserve">Original 180 °F; 200–230 °F for high-moisture feeds</t>
  </si>
  <si>
    <t xml:space="preserve">Combustion efficiency</t>
  </si>
  <si>
    <t xml:space="preserve">Original Input H3</t>
  </si>
  <si>
    <t xml:space="preserve">Shell and radiation loss</t>
  </si>
  <si>
    <t xml:space="preserve">fraction of fired duty</t>
  </si>
  <si>
    <t xml:space="preserve">Air in-leakage at seals</t>
  </si>
  <si>
    <t xml:space="preserve">fraction of hot gas</t>
  </si>
  <si>
    <t xml:space="preserve">Adds to exhaust volume only</t>
  </si>
  <si>
    <t xml:space="preserve">Fuel cost</t>
  </si>
  <si>
    <t xml:space="preserve">$/MMBtu</t>
  </si>
  <si>
    <t xml:space="preserve">Assumption for the annual line; change per site</t>
  </si>
  <si>
    <t xml:space="preserve">AIR HANDLING AND MARGINS</t>
  </si>
  <si>
    <t xml:space="preserve">Drum face velocity for airflow rating</t>
  </si>
  <si>
    <t xml:space="preserve">fpm</t>
  </si>
  <si>
    <t xml:space="preserve">MCE rule: drum cross-section × 350 fpm = design ACFM (7 Feb 2026 notes)</t>
  </si>
  <si>
    <t xml:space="preserve">Fan static pressure</t>
  </si>
  <si>
    <t xml:space="preserve">in WC</t>
  </si>
  <si>
    <t xml:space="preserve">MCE rule of thumb for drum + duct + cyclone</t>
  </si>
  <si>
    <t xml:space="preserve">Fan static efficiency</t>
  </si>
  <si>
    <t xml:space="preserve">Duct velocity</t>
  </si>
  <si>
    <t xml:space="preserve">≥5,000 fpm wood and alfalfa; 4,500 for products under 12 lb/ft³</t>
  </si>
  <si>
    <t xml:space="preserve">Cyclone inlet velocity</t>
  </si>
  <si>
    <t xml:space="preserve">For the inlet-area line; final cyclone from the MCE cyclone calculator</t>
  </si>
  <si>
    <t xml:space="preserve">Minimum conveying air</t>
  </si>
  <si>
    <t xml:space="preserve">lb air/lb product</t>
  </si>
  <si>
    <t xml:space="preserve">Original Input A26</t>
  </si>
  <si>
    <t xml:space="preserve">Burner sizing margin</t>
  </si>
  <si>
    <t xml:space="preserve">Model selection margin on airflow and evaporation</t>
  </si>
  <si>
    <t xml:space="preserve">Burner face heat release</t>
  </si>
  <si>
    <t xml:space="preserve">Btu/hr per in²</t>
  </si>
  <si>
    <t xml:space="preserve">Drying Rates Calculator</t>
  </si>
  <si>
    <t xml:space="preserve">OPERATION</t>
  </si>
  <si>
    <t xml:space="preserve">Hours per day</t>
  </si>
  <si>
    <t xml:space="preserve">h</t>
  </si>
  <si>
    <t xml:space="preserve">Days per year</t>
  </si>
  <si>
    <t xml:space="preserve">d</t>
  </si>
  <si>
    <t xml:space="preserve">Annual operating hours</t>
  </si>
  <si>
    <t xml:space="preserve">h/yr</t>
  </si>
  <si>
    <t xml:space="preserve">HEAT AND MASS BALANCE  ·  imperial</t>
  </si>
  <si>
    <t xml:space="preserve">MASS BALANCE</t>
  </si>
  <si>
    <t xml:space="preserve">Wet feed</t>
  </si>
  <si>
    <t xml:space="preserve">Dry solids</t>
  </si>
  <si>
    <t xml:space="preserve">Water in with feed</t>
  </si>
  <si>
    <t xml:space="preserve">Dried product</t>
  </si>
  <si>
    <t xml:space="preserve">Water remaining in product</t>
  </si>
  <si>
    <t xml:space="preserve">Water evaporated</t>
  </si>
  <si>
    <t xml:space="preserve">Governs everything below</t>
  </si>
  <si>
    <t xml:space="preserve">gal/hr</t>
  </si>
  <si>
    <t xml:space="preserve">Product</t>
  </si>
  <si>
    <t xml:space="preserve">TPH</t>
  </si>
  <si>
    <t xml:space="preserve">MCE METHOD (Drying Rates Calculator)</t>
  </si>
  <si>
    <t xml:space="preserve">Theoretical energy per lb water</t>
  </si>
  <si>
    <t xml:space="preserve">Sensible to 212 °F plus latent 970.4</t>
  </si>
  <si>
    <t xml:space="preserve">Energy factor with losses</t>
  </si>
  <si>
    <t xml:space="preserve">Total Btu of system (MCE)</t>
  </si>
  <si>
    <t xml:space="preserve">Btu/hr</t>
  </si>
  <si>
    <t xml:space="preserve">The number quoting has always used</t>
  </si>
  <si>
    <t xml:space="preserve">MMBtu/hr</t>
  </si>
  <si>
    <t xml:space="preserve">RIGOROUS BALANCE (check on the MCE factor)</t>
  </si>
  <si>
    <t xml:space="preserve">Heat dry solids</t>
  </si>
  <si>
    <t xml:space="preserve">Heat water remaining in product</t>
  </si>
  <si>
    <t xml:space="preserve">Heat evaporated water to 212 °F</t>
  </si>
  <si>
    <t xml:space="preserve">Vaporize</t>
  </si>
  <si>
    <t xml:space="preserve">Superheat vapor to exhaust temperature</t>
  </si>
  <si>
    <t xml:space="preserve">Negative if exhaust is below 212 °F, as in the original</t>
  </si>
  <si>
    <t xml:space="preserve">Product heating requirement</t>
  </si>
  <si>
    <t xml:space="preserve">Share of released heat given up by the gas</t>
  </si>
  <si>
    <t xml:space="preserve">(T_in − T_exhaust)/(T_in − T_ambient) × combustion efficiency</t>
  </si>
  <si>
    <t xml:space="preserve">Fired duty, rigorous</t>
  </si>
  <si>
    <t xml:space="preserve">Closed form; replaces the unconverged iteration in the original CALC</t>
  </si>
  <si>
    <t xml:space="preserve">Btu per lb water, rigorous</t>
  </si>
  <si>
    <t xml:space="preserve">Check against MCE factor</t>
  </si>
  <si>
    <t xml:space="preserve">Original FLOW G8 showed 11,788 Btu/lb and nobody looked</t>
  </si>
  <si>
    <t xml:space="preserve">Design fired duty used downstream</t>
  </si>
  <si>
    <t xml:space="preserve">Larger of the two, by policy</t>
  </si>
  <si>
    <t xml:space="preserve">COMBUSTION</t>
  </si>
  <si>
    <t xml:space="preserve">Fuel rate</t>
  </si>
  <si>
    <t xml:space="preserve">Fuel volume</t>
  </si>
  <si>
    <t xml:space="preserve">ft³/min</t>
  </si>
  <si>
    <t xml:space="preserve">Gas fuels: ft³/min at standard; solid fuels: bulk ft³/min</t>
  </si>
  <si>
    <t xml:space="preserve">Combustion air</t>
  </si>
  <si>
    <t xml:space="preserve">Products of combustion</t>
  </si>
  <si>
    <t xml:space="preserve">Water in products of combustion</t>
  </si>
  <si>
    <t xml:space="preserve">Adiabatic products temperature, approx.</t>
  </si>
  <si>
    <t xml:space="preserve">cp 0.27 average; sanity only</t>
  </si>
  <si>
    <t xml:space="preserve">DRYER GAS FLOW</t>
  </si>
  <si>
    <t xml:space="preserve">Hot gas to dryer at inlet temperature</t>
  </si>
  <si>
    <t xml:space="preserve">Products of combustion plus dilution air, dry basis</t>
  </si>
  <si>
    <t xml:space="preserve">Dilution (make-up) air</t>
  </si>
  <si>
    <t xml:space="preserve">Must be positive; if negative the inlet temperature is above what this fuel and excess air can give</t>
  </si>
  <si>
    <t xml:space="preserve">Dilution check</t>
  </si>
  <si>
    <t xml:space="preserve">Air in-leakage</t>
  </si>
  <si>
    <t xml:space="preserve">Exhaust dry gas</t>
  </si>
  <si>
    <t xml:space="preserve">Exhaust water vapor</t>
  </si>
  <si>
    <t xml:space="preserve">Exhaust total</t>
  </si>
  <si>
    <t xml:space="preserve">Exhaust humidity</t>
  </si>
  <si>
    <t xml:space="preserve">lb H2O/lb dry gas</t>
  </si>
  <si>
    <t xml:space="preserve">Elevation pressure ratio</t>
  </si>
  <si>
    <t xml:space="preserve">Standard atmosphere</t>
  </si>
  <si>
    <t xml:space="preserve">Dry gas density at exhaust temperature and elevation</t>
  </si>
  <si>
    <t xml:space="preserve">Water vapor density at exhaust temperature and elevation</t>
  </si>
  <si>
    <t xml:space="preserve">Exhaust volume at exhaust temperature</t>
  </si>
  <si>
    <t xml:space="preserve">ACFM</t>
  </si>
  <si>
    <t xml:space="preserve">Sizes the fan, cyclone and duct</t>
  </si>
  <si>
    <t xml:space="preserve">Exhaust volume, standard</t>
  </si>
  <si>
    <t xml:space="preserve">SCFM</t>
  </si>
  <si>
    <t xml:space="preserve">Inlet gas volume at inlet temperature</t>
  </si>
  <si>
    <t xml:space="preserve">Furnace outlet duct</t>
  </si>
  <si>
    <t xml:space="preserve">Conveying air ratio</t>
  </si>
  <si>
    <t xml:space="preserve">Conveying check</t>
  </si>
  <si>
    <t xml:space="preserve">ENERGY CLOSURE (must be zero)</t>
  </si>
  <si>
    <t xml:space="preserve">Fuel energy in</t>
  </si>
  <si>
    <t xml:space="preserve">Combustion inefficiency</t>
  </si>
  <si>
    <t xml:space="preserve">To product (heating and evaporation)</t>
  </si>
  <si>
    <t xml:space="preserve">Scaled when the MCE duty governs; the extra heat is real margin, not a balance error</t>
  </si>
  <si>
    <t xml:space="preserve">Shell loss</t>
  </si>
  <si>
    <t xml:space="preserve">Exhaust sensible heat, dry gas</t>
  </si>
  <si>
    <t xml:space="preserve">Residual</t>
  </si>
  <si>
    <t xml:space="preserve">Zero when the MCE and rigorous duties agree; otherwise equals the margin the MCE factor carries</t>
  </si>
  <si>
    <t xml:space="preserve">Residual as share of fuel</t>
  </si>
  <si>
    <t xml:space="preserve">DRUM CHECKS (selected model from Equipment sheet)</t>
  </si>
  <si>
    <t xml:space="preserve">Selected dryer</t>
  </si>
  <si>
    <t xml:space="preserve">Drum volume</t>
  </si>
  <si>
    <t xml:space="preserve">ft³</t>
  </si>
  <si>
    <t xml:space="preserve">Evaporative loading</t>
  </si>
  <si>
    <t xml:space="preserve">lb/hr·ft³</t>
  </si>
  <si>
    <t xml:space="preserve">Single-pass practice 3–8 on biomass, 2–5 on sludge and manure</t>
  </si>
  <si>
    <t xml:space="preserve">Material in drum at residence time</t>
  </si>
  <si>
    <t xml:space="preserve">Drum fill</t>
  </si>
  <si>
    <t xml:space="preserve">Original FLOW used 1.5 minutes of product and read 0.1%; 5–15% is normal</t>
  </si>
  <si>
    <t xml:space="preserve">DRYER MODELS  ·  one table, three types  ·  yellow = MCE to fill</t>
  </si>
  <si>
    <t xml:space="preserve">Reference evaporative loading for the volume-limited rating, lb/hr·ft³:</t>
  </si>
  <si>
    <t xml:space="preserve">Single-pass</t>
  </si>
  <si>
    <t xml:space="preserve">Triple-pass</t>
  </si>
  <si>
    <t xml:space="preserve">Z8</t>
  </si>
  <si>
    <t xml:space="preserve">Rated evaporation = MIN(burner ÷ energy factor, volume × reference loading). Blank burner = volume-limited only. Design ACFM for single-pass = cross-section × face velocity; triple-pass and Z8 use the entered ACFM.</t>
  </si>
  <si>
    <t xml:space="preserve">Type</t>
  </si>
  <si>
    <t xml:space="preserve">Model</t>
  </si>
  <si>
    <t xml:space="preserve">Dia ft</t>
  </si>
  <si>
    <t xml:space="preserve">Length ft</t>
  </si>
  <si>
    <t xml:space="preserve">Cross-section ft²</t>
  </si>
  <si>
    <t xml:space="preserve">Volume ft³</t>
  </si>
  <si>
    <t xml:space="preserve">Design ACFM</t>
  </si>
  <si>
    <t xml:space="preserve">Max burner MMBtu/hr</t>
  </si>
  <si>
    <t xml:space="preserve">Rated evap (burner) lb/hr</t>
  </si>
  <si>
    <t xml:space="preserve">Rated evap (volume) lb/hr</t>
  </si>
  <si>
    <t xml:space="preserve">Rated evap lb/hr</t>
  </si>
  <si>
    <t xml:space="preserve">Meets job? (row)</t>
  </si>
  <si>
    <t xml:space="preserve">Overall L×W×H in</t>
  </si>
  <si>
    <t xml:space="preserve">Fan hp</t>
  </si>
  <si>
    <t xml:space="preserve">Source / status</t>
  </si>
  <si>
    <t xml:space="preserve">XD-36 Mk.2</t>
  </si>
  <si>
    <t xml:space="preserve">413.9 × 84 × 100.5</t>
  </si>
  <si>
    <t xml:space="preserve">LETEK quote Mar 2026 (2.5 MMBtu MOP burner); Mk.2 brochure dims</t>
  </si>
  <si>
    <t xml:space="preserve">XD-60 Mk.2</t>
  </si>
  <si>
    <t xml:space="preserve">GA drawing Apr 2026; burner rating to fill</t>
  </si>
  <si>
    <t xml:space="preserve">XD-72 Mk.2</t>
  </si>
  <si>
    <t xml:space="preserve">6 ft dia and 470 MOP burner per 7 Feb 2026 notes; LENGTH TO CONFIRM</t>
  </si>
  <si>
    <t xml:space="preserve">XD-96 Mk.2</t>
  </si>
  <si>
    <t xml:space="preserve">470 × 224 × 169</t>
  </si>
  <si>
    <t xml:space="preserve">8×40 drum and 30 MMBtu/hr max from XD-96 Mk.1 manual; Mk.2 length assumed same</t>
  </si>
  <si>
    <t xml:space="preserve">TP-1 (fill)</t>
  </si>
  <si>
    <t xml:space="preserve">MCE triple-pass drum data not found in Drive, QBO or email; fill model, OD, length, design ACFM, burner</t>
  </si>
  <si>
    <t xml:space="preserve">TP-2 (fill)</t>
  </si>
  <si>
    <t xml:space="preserve">TP-3 (fill)</t>
  </si>
  <si>
    <t xml:space="preserve">TP-4 (fill)</t>
  </si>
  <si>
    <t xml:space="preserve">Z8 6'x24'</t>
  </si>
  <si>
    <t xml:space="preserve">Original Input K8:L18 ACFM max; burner to fill</t>
  </si>
  <si>
    <t xml:space="preserve">Z8 8'x35'</t>
  </si>
  <si>
    <t xml:space="preserve">Z8 10'x40'</t>
  </si>
  <si>
    <t xml:space="preserve">Z8 10'x50'</t>
  </si>
  <si>
    <t xml:space="preserve">Z8 12'x50'</t>
  </si>
  <si>
    <t xml:space="preserve">Z8 12'x60'</t>
  </si>
  <si>
    <t xml:space="preserve">Z8 12'x70'</t>
  </si>
  <si>
    <t xml:space="preserve">Z8 13'x60'</t>
  </si>
  <si>
    <t xml:space="preserve">Z8 14'x70'</t>
  </si>
  <si>
    <t xml:space="preserve">Z8 15'x70'</t>
  </si>
  <si>
    <t xml:space="preserve">EQUIPMENT SELECTION  ·  imperial</t>
  </si>
  <si>
    <t xml:space="preserve">DRYER</t>
  </si>
  <si>
    <t xml:space="preserve">Selected dryer (smallest of the chosen type that meets airflow and evaporation with margin)</t>
  </si>
  <si>
    <t xml:space="preserve">Drum diameter</t>
  </si>
  <si>
    <t xml:space="preserve">Drum length</t>
  </si>
  <si>
    <t xml:space="preserve">Model design airflow</t>
  </si>
  <si>
    <t xml:space="preserve">Model rated evaporation</t>
  </si>
  <si>
    <t xml:space="preserve">Model maximum burner</t>
  </si>
  <si>
    <t xml:space="preserve">Airflow utilization</t>
  </si>
  <si>
    <t xml:space="preserve">Evaporation utilization</t>
  </si>
  <si>
    <t xml:space="preserve">BURNER</t>
  </si>
  <si>
    <t xml:space="preserve">Fired duty, design</t>
  </si>
  <si>
    <t xml:space="preserve">Burner size with margin</t>
  </si>
  <si>
    <t xml:space="preserve">Burner vs model maximum</t>
  </si>
  <si>
    <t xml:space="preserve">Burner face area at flux</t>
  </si>
  <si>
    <t xml:space="preserve">in²</t>
  </si>
  <si>
    <t xml:space="preserve">Drying Rates Calculator method</t>
  </si>
  <si>
    <t xml:space="preserve">48 in × 12 in burners</t>
  </si>
  <si>
    <t xml:space="preserve">count</t>
  </si>
  <si>
    <t xml:space="preserve">3.375 in × 40 in burners</t>
  </si>
  <si>
    <t xml:space="preserve">Oven-pack style burner index (MMBtu/hr × 100)</t>
  </si>
  <si>
    <t xml:space="preserve">470 MOP was picked for 5.7 MMBtu/hr in Feb 2026; confirm against the vendor curve</t>
  </si>
  <si>
    <t xml:space="preserve">FAN, DUCT, CYCLONE</t>
  </si>
  <si>
    <t xml:space="preserve">Exhaust fan volume</t>
  </si>
  <si>
    <t xml:space="preserve">At temperature</t>
  </si>
  <si>
    <t xml:space="preserve">Fan brake horsepower</t>
  </si>
  <si>
    <t xml:space="preserve">bhp</t>
  </si>
  <si>
    <t xml:space="preserve">Original DESIGN B29 used ACFM×18×5.2/33000×1.75</t>
  </si>
  <si>
    <t xml:space="preserve">Fan motor</t>
  </si>
  <si>
    <t xml:space="preserve">hp</t>
  </si>
  <si>
    <t xml:space="preserve">Next standard motor above bhp × 1.15</t>
  </si>
  <si>
    <t xml:space="preserve">Exhaust duct diameter at duct velocity</t>
  </si>
  <si>
    <t xml:space="preserve">in</t>
  </si>
  <si>
    <t xml:space="preserve">Exhaust duct, even inches</t>
  </si>
  <si>
    <t xml:space="preserve">Actual velocity in selected duct</t>
  </si>
  <si>
    <t xml:space="preserve">Furnace-to-drum duct at inlet temperature</t>
  </si>
  <si>
    <t xml:space="preserve">Cyclone inlet area at inlet velocity</t>
  </si>
  <si>
    <t xml:space="preserve">Hand ACFM and temperature to the MCE cyclone calculator for the model</t>
  </si>
  <si>
    <t xml:space="preserve">Cyclone barrel, Lapple proportions (inlet = D/2 × D/4)</t>
  </si>
  <si>
    <t xml:space="preserve">Indicative only</t>
  </si>
  <si>
    <t xml:space="preserve">MATERIAL HANDLING</t>
  </si>
  <si>
    <t xml:space="preserve">Dried product volume</t>
  </si>
  <si>
    <t xml:space="preserve">Wet feed volume</t>
  </si>
  <si>
    <t xml:space="preserve">Discharge airlock (smallest with capacity ≥ product volume at 30% fill)</t>
  </si>
  <si>
    <t xml:space="preserve">Infeed airlock (≥ wet feed volume)</t>
  </si>
  <si>
    <t xml:space="preserve">Infeed screw (≥ wet feed ft³/hr at 30% fill)</t>
  </si>
  <si>
    <t xml:space="preserve">ANNUAL</t>
  </si>
  <si>
    <t xml:space="preserve">Operating hours</t>
  </si>
  <si>
    <t xml:space="preserve">tons/yr</t>
  </si>
  <si>
    <t xml:space="preserve">Water removed</t>
  </si>
  <si>
    <t xml:space="preserve">Fuel energy</t>
  </si>
  <si>
    <t xml:space="preserve">MMBtu/yr</t>
  </si>
  <si>
    <t xml:space="preserve">$/yr</t>
  </si>
  <si>
    <t xml:space="preserve">Fuel cost per ton of product</t>
  </si>
  <si>
    <t xml:space="preserve">$/ton</t>
  </si>
  <si>
    <t xml:space="preserve">REFERENCE TABLES</t>
  </si>
  <si>
    <t xml:space="preserve">Std motor hp</t>
  </si>
  <si>
    <t xml:space="preserve">Airlock size</t>
  </si>
  <si>
    <t xml:space="preserve">cf/rev</t>
  </si>
  <si>
    <t xml:space="preserve">rpm</t>
  </si>
  <si>
    <t xml:space="preserve">fill</t>
  </si>
  <si>
    <t xml:space="preserve">cf/min</t>
  </si>
  <si>
    <t xml:space="preserve">Screw size in</t>
  </si>
  <si>
    <t xml:space="preserve">cf/hr/rpm</t>
  </si>
  <si>
    <t xml:space="preserve">cf/hr @30%</t>
  </si>
  <si>
    <t xml:space="preserve">Source: original DESIGN K8:N19, 30% fill</t>
  </si>
  <si>
    <t xml:space="preserve">Source: original DESIGN K22:N32</t>
  </si>
  <si>
    <t xml:space="preserve">EMISSIONS ESTIMATE  ·  potential to emit  ·  factors are placeholders to confirm against EPA AP-42</t>
  </si>
  <si>
    <t xml:space="preserve">INPUTS (blue)</t>
  </si>
  <si>
    <t xml:space="preserve">NOx factor</t>
  </si>
  <si>
    <t xml:space="preserve">lb/MMBtu</t>
  </si>
  <si>
    <t xml:space="preserve">NG ~0.1; wood ~0.22; original COMB used 5.5% fuel N to NOx</t>
  </si>
  <si>
    <t xml:space="preserve">CO factor</t>
  </si>
  <si>
    <t xml:space="preserve">NG ~0.08; wood ~0.6</t>
  </si>
  <si>
    <t xml:space="preserve">SO2 factor</t>
  </si>
  <si>
    <t xml:space="preserve">NG ~0.0006; wood 0.025</t>
  </si>
  <si>
    <t xml:space="preserve">VOC factor</t>
  </si>
  <si>
    <t xml:space="preserve">lb/OD ton product</t>
  </si>
  <si>
    <t xml:space="preserve">Original Emiss. I29 (softwood shavings); AP-42 by species</t>
  </si>
  <si>
    <t xml:space="preserve">PM uncontrolled</t>
  </si>
  <si>
    <t xml:space="preserve">Rotary wood dryer AP-42 range ~1–6; original used product×(1−0.99965)</t>
  </si>
  <si>
    <t xml:space="preserve">Cyclone collection efficiency</t>
  </si>
  <si>
    <t xml:space="preserve">Original 99.965% is not achievable with a cyclone</t>
  </si>
  <si>
    <t xml:space="preserve">PM10 share of PM</t>
  </si>
  <si>
    <t xml:space="preserve">Original 0.007%</t>
  </si>
  <si>
    <t xml:space="preserve">HAP share of VOC</t>
  </si>
  <si>
    <t xml:space="preserve">Original Emiss. I33</t>
  </si>
  <si>
    <t xml:space="preserve">RESULTS</t>
  </si>
  <si>
    <t xml:space="preserve">Pollutant</t>
  </si>
  <si>
    <t xml:space="preserve">tons/yr at operating hours</t>
  </si>
  <si>
    <t xml:space="preserve">tons/yr PTE (8,760 h)</t>
  </si>
  <si>
    <t xml:space="preserve">lb/OD ton</t>
  </si>
  <si>
    <t xml:space="preserve">CO2</t>
  </si>
  <si>
    <t xml:space="preserve">NOx</t>
  </si>
  <si>
    <t xml:space="preserve">CO</t>
  </si>
  <si>
    <t xml:space="preserve">SO2</t>
  </si>
  <si>
    <t xml:space="preserve">VOC</t>
  </si>
  <si>
    <t xml:space="preserve">HAPs</t>
  </si>
  <si>
    <t xml:space="preserve">PM after cyclone</t>
  </si>
  <si>
    <t xml:space="preserve">PM10 after cyclone</t>
  </si>
  <si>
    <t xml:space="preserve">METRIC SUMMARY  ·  converted from the imperial sheets</t>
  </si>
  <si>
    <t xml:space="preserve">MASS</t>
  </si>
  <si>
    <t xml:space="preserve">kg/h</t>
  </si>
  <si>
    <t xml:space="preserve">t/h</t>
  </si>
  <si>
    <t xml:space="preserve">Moisture in / out (wet basis)</t>
  </si>
  <si>
    <t xml:space="preserve">ENERGY</t>
  </si>
  <si>
    <t xml:space="preserve">Theoretical energy per kg water</t>
  </si>
  <si>
    <t xml:space="preserve">kJ/kg</t>
  </si>
  <si>
    <t xml:space="preserve">Design fired duty</t>
  </si>
  <si>
    <t xml:space="preserve">GJ/h</t>
  </si>
  <si>
    <t xml:space="preserve">kW</t>
  </si>
  <si>
    <t xml:space="preserve">TEMPERATURES</t>
  </si>
  <si>
    <t xml:space="preserve">Product in / out</t>
  </si>
  <si>
    <t xml:space="preserve">°C</t>
  </si>
  <si>
    <t xml:space="preserve">Gas in / out</t>
  </si>
  <si>
    <t xml:space="preserve">GAS</t>
  </si>
  <si>
    <t xml:space="preserve">Hot gas to dryer</t>
  </si>
  <si>
    <t xml:space="preserve">m³/h</t>
  </si>
  <si>
    <t xml:space="preserve">Exhaust volume, normal (0 °C, 1 atm)</t>
  </si>
  <si>
    <t xml:space="preserve">Nm³/h</t>
  </si>
  <si>
    <t xml:space="preserve">EQUIPMENT</t>
  </si>
  <si>
    <t xml:space="preserve">Drum diameter × length</t>
  </si>
  <si>
    <t xml:space="preserve">m</t>
  </si>
  <si>
    <t xml:space="preserve">MW</t>
  </si>
  <si>
    <t xml:space="preserve">Exhaust duct</t>
  </si>
  <si>
    <t xml:space="preserve">mm</t>
  </si>
  <si>
    <t xml:space="preserve">Pa</t>
  </si>
  <si>
    <t xml:space="preserve">REFERENCE CASES  ·  copy a column into Inputs to rerun</t>
  </si>
  <si>
    <t xml:space="preserve">Input</t>
  </si>
  <si>
    <t xml:space="preserve">Track B (this file default)</t>
  </si>
  <si>
    <t xml:space="preserve">Prozus track A</t>
  </si>
  <si>
    <t xml:space="preserve">LETEK digestate case A</t>
  </si>
  <si>
    <t xml:space="preserve">6x24 expected (2005 file)</t>
  </si>
  <si>
    <t xml:space="preserve">Biomass</t>
  </si>
  <si>
    <t xml:space="preserve">Chicken manure digestate cake</t>
  </si>
  <si>
    <t xml:space="preserve">Grapeskins</t>
  </si>
  <si>
    <t xml:space="preserve">Wet feed lb/hr</t>
  </si>
  <si>
    <t xml:space="preserve">Moisture in</t>
  </si>
  <si>
    <t xml:space="preserve">Moisture out</t>
  </si>
  <si>
    <t xml:space="preserve">Product temp in °F</t>
  </si>
  <si>
    <t xml:space="preserve">Product temp out °F</t>
  </si>
  <si>
    <t xml:space="preserve">Dryer inlet gas °F</t>
  </si>
  <si>
    <t xml:space="preserve">Exhaust gas °F</t>
  </si>
  <si>
    <t xml:space="preserve">Energy factor</t>
  </si>
  <si>
    <t xml:space="preserve">Original Input sheet basis</t>
  </si>
  <si>
    <t xml:space="preserve">Prozus used feed at 100 °C and solids out at 375 °C; not reproduced</t>
  </si>
  <si>
    <t xml:space="preserve">From LETEK PFD Rev A, 140 MT/day, 24 h</t>
  </si>
  <si>
    <t xml:space="preserve">624DryerExpected20051205.xlsx: 8,400 ACFM, 3.5 MMBtu/h observed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</si>
</sst>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"/>
    <numFmt numFmtId="167" formatCode="#,##0.00"/>
    <numFmt numFmtId="168" formatCode="#,##0.0"/>
    <numFmt numFmtId="169" formatCode="0%"/>
    <numFmt numFmtId="170" formatCode="0.000"/>
    <numFmt numFmtId="171" formatCode="0.0000"/>
    <numFmt numFmtId="172" formatCode="\$#,##0"/>
    <numFmt numFmtId="173" formatCode="\$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575D5E"/>
        <bgColor rgb="FF555555"/>
      </patternFill>
    </fill>
    <fill>
      <patternFill patternType="solid">
        <fgColor rgb="FFE4E4E4"/>
        <bgColor rgb="FFCC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7C7"/>
      </left>
      <right style="thin">
        <color rgb="FFC8C7C7"/>
      </right>
      <top style="thin">
        <color rgb="FFC8C7C7"/>
      </top>
      <bottom style="thin">
        <color rgb="FFC8C7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7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E4E4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75D5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21.75" hidden="false" customHeight="tru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23.85" hidden="false" customHeight="false" outlineLevel="0" collapsed="false">
      <c r="B3" s="2" t="s">
        <v>1</v>
      </c>
    </row>
    <row r="4" customFormat="false" ht="35.05" hidden="false" customHeight="false" outlineLevel="0" collapsed="false">
      <c r="B4" s="2" t="s">
        <v>2</v>
      </c>
    </row>
    <row r="5" customFormat="false" ht="15" hidden="false" customHeight="false" outlineLevel="0" collapsed="false">
      <c r="B5" s="2"/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2" t="s">
        <v>4</v>
      </c>
    </row>
    <row r="8" customFormat="false" ht="15" hidden="false" customHeight="false" outlineLevel="0" collapsed="false">
      <c r="B8" s="2" t="s">
        <v>5</v>
      </c>
    </row>
    <row r="9" customFormat="false" ht="15" hidden="false" customHeight="false" outlineLevel="0" collapsed="false">
      <c r="B9" s="2" t="s">
        <v>6</v>
      </c>
    </row>
    <row r="10" customFormat="false" ht="15" hidden="false" customHeight="false" outlineLevel="0" collapsed="false">
      <c r="B10" s="2" t="s">
        <v>7</v>
      </c>
    </row>
    <row r="11" customFormat="false" ht="23.85" hidden="false" customHeight="false" outlineLevel="0" collapsed="false">
      <c r="B11" s="2" t="s">
        <v>8</v>
      </c>
    </row>
    <row r="12" customFormat="false" ht="15" hidden="false" customHeight="false" outlineLevel="0" collapsed="false">
      <c r="B12" s="2"/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23.85" hidden="false" customHeight="false" outlineLevel="0" collapsed="false">
      <c r="B15" s="2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23.8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/>
    </row>
    <row r="21" customFormat="false" ht="15" hidden="false" customHeight="false" outlineLevel="0" collapsed="false">
      <c r="B21" s="3" t="s">
        <v>16</v>
      </c>
    </row>
    <row r="22" customFormat="false" ht="15" hidden="false" customHeight="false" outlineLevel="0" collapsed="false">
      <c r="B22" s="2" t="s">
        <v>17</v>
      </c>
    </row>
    <row r="23" customFormat="false" ht="15" hidden="false" customHeight="false" outlineLevel="0" collapsed="false">
      <c r="B23" s="2" t="s">
        <v>18</v>
      </c>
    </row>
    <row r="24" customFormat="false" ht="23.85" hidden="false" customHeight="false" outlineLevel="0" collapsed="false">
      <c r="B24" s="2" t="s">
        <v>19</v>
      </c>
    </row>
    <row r="25" customFormat="false" ht="23.8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2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2"/>
    </row>
    <row r="30" customFormat="false" ht="15" hidden="false" customHeight="false" outlineLevel="0" collapsed="false">
      <c r="B30" s="2" t="s">
        <v>24</v>
      </c>
    </row>
    <row r="31" customFormat="false" ht="15" hidden="false" customHeight="false" outlineLevel="0" collapsed="false">
      <c r="B31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60"/>
    <col collapsed="false" customWidth="true" hidden="false" outlineLevel="0" max="7" min="7" style="0" width="24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3" min="10" style="0" width="13"/>
    <col collapsed="false" customWidth="true" hidden="false" outlineLevel="0" max="14" min="14" style="0" width="60"/>
  </cols>
  <sheetData>
    <row r="1" customFormat="false" ht="16.15" hidden="false" customHeight="false" outlineLevel="0" collapsed="false">
      <c r="B1" s="4" t="s">
        <v>26</v>
      </c>
    </row>
    <row r="3" customFormat="false" ht="15" hidden="false" customHeight="false" outlineLevel="0" collapsed="false">
      <c r="B3" s="5" t="s">
        <v>27</v>
      </c>
      <c r="C3" s="6"/>
      <c r="D3" s="6"/>
      <c r="E3" s="6"/>
      <c r="G3" s="7" t="s">
        <v>28</v>
      </c>
      <c r="H3" s="7" t="s">
        <v>29</v>
      </c>
      <c r="I3" s="7" t="s">
        <v>30</v>
      </c>
    </row>
    <row r="4" customFormat="false" ht="15" hidden="false" customHeight="false" outlineLevel="0" collapsed="false">
      <c r="B4" s="8" t="s">
        <v>31</v>
      </c>
      <c r="C4" s="9" t="s">
        <v>32</v>
      </c>
      <c r="D4" s="8"/>
      <c r="E4" s="10" t="s">
        <v>33</v>
      </c>
    </row>
    <row r="5" customFormat="false" ht="15" hidden="false" customHeight="false" outlineLevel="0" collapsed="false">
      <c r="B5" s="8" t="s">
        <v>34</v>
      </c>
      <c r="C5" s="9" t="s">
        <v>35</v>
      </c>
      <c r="D5" s="8"/>
      <c r="G5" s="8" t="s">
        <v>36</v>
      </c>
      <c r="H5" s="11" t="n">
        <v>1750</v>
      </c>
      <c r="I5" s="10" t="s">
        <v>37</v>
      </c>
    </row>
    <row r="6" customFormat="false" ht="15" hidden="false" customHeight="false" outlineLevel="0" collapsed="false">
      <c r="B6" s="5" t="s">
        <v>38</v>
      </c>
      <c r="C6" s="6"/>
      <c r="D6" s="6"/>
      <c r="E6" s="6"/>
      <c r="G6" s="8" t="s">
        <v>39</v>
      </c>
      <c r="H6" s="11" t="n">
        <v>1750</v>
      </c>
      <c r="I6" s="10" t="s">
        <v>37</v>
      </c>
    </row>
    <row r="7" customFormat="false" ht="15" hidden="false" customHeight="false" outlineLevel="0" collapsed="false">
      <c r="B7" s="8" t="s">
        <v>40</v>
      </c>
      <c r="C7" s="12" t="n">
        <v>3000</v>
      </c>
      <c r="D7" s="8" t="s">
        <v>41</v>
      </c>
      <c r="E7" s="10" t="s">
        <v>42</v>
      </c>
      <c r="G7" s="8" t="s">
        <v>43</v>
      </c>
      <c r="H7" s="11" t="n">
        <v>1750</v>
      </c>
      <c r="I7" s="10" t="s">
        <v>37</v>
      </c>
    </row>
    <row r="8" customFormat="false" ht="15" hidden="false" customHeight="false" outlineLevel="0" collapsed="false">
      <c r="B8" s="8" t="s">
        <v>44</v>
      </c>
      <c r="C8" s="13" t="n">
        <v>0.5</v>
      </c>
      <c r="D8" s="8"/>
      <c r="E8" s="10" t="s">
        <v>45</v>
      </c>
      <c r="G8" s="8" t="s">
        <v>46</v>
      </c>
      <c r="H8" s="11" t="n">
        <v>1500</v>
      </c>
      <c r="I8" s="10" t="s">
        <v>47</v>
      </c>
    </row>
    <row r="9" customFormat="false" ht="15" hidden="false" customHeight="false" outlineLevel="0" collapsed="false">
      <c r="B9" s="8" t="s">
        <v>48</v>
      </c>
      <c r="C9" s="13" t="n">
        <v>0.1</v>
      </c>
      <c r="D9" s="8"/>
      <c r="G9" s="8" t="s">
        <v>49</v>
      </c>
      <c r="H9" s="11" t="n">
        <v>1875</v>
      </c>
      <c r="I9" s="10" t="s">
        <v>50</v>
      </c>
    </row>
    <row r="10" customFormat="false" ht="15" hidden="false" customHeight="false" outlineLevel="0" collapsed="false">
      <c r="B10" s="8" t="s">
        <v>51</v>
      </c>
      <c r="C10" s="9" t="n">
        <v>60</v>
      </c>
      <c r="D10" s="8" t="s">
        <v>52</v>
      </c>
      <c r="E10" s="10" t="s">
        <v>53</v>
      </c>
    </row>
    <row r="11" customFormat="false" ht="15" hidden="false" customHeight="false" outlineLevel="0" collapsed="false">
      <c r="B11" s="8" t="s">
        <v>54</v>
      </c>
      <c r="C11" s="9" t="n">
        <v>200</v>
      </c>
      <c r="D11" s="8" t="s">
        <v>52</v>
      </c>
      <c r="E11" s="10" t="s">
        <v>55</v>
      </c>
      <c r="G11" s="7" t="s">
        <v>56</v>
      </c>
    </row>
    <row r="12" customFormat="false" ht="15" hidden="false" customHeight="false" outlineLevel="0" collapsed="false">
      <c r="B12" s="8" t="s">
        <v>57</v>
      </c>
      <c r="C12" s="14" t="n">
        <v>0.35</v>
      </c>
      <c r="D12" s="8" t="s">
        <v>58</v>
      </c>
      <c r="E12" s="10" t="s">
        <v>59</v>
      </c>
      <c r="G12" s="15" t="s">
        <v>60</v>
      </c>
      <c r="H12" s="15" t="s">
        <v>61</v>
      </c>
      <c r="I12" s="15" t="s">
        <v>62</v>
      </c>
      <c r="J12" s="15" t="s">
        <v>63</v>
      </c>
      <c r="K12" s="15" t="s">
        <v>64</v>
      </c>
      <c r="L12" s="15" t="s">
        <v>65</v>
      </c>
      <c r="M12" s="15" t="s">
        <v>66</v>
      </c>
      <c r="N12" s="15" t="s">
        <v>67</v>
      </c>
    </row>
    <row r="13" customFormat="false" ht="15" hidden="false" customHeight="false" outlineLevel="0" collapsed="false">
      <c r="B13" s="8" t="s">
        <v>68</v>
      </c>
      <c r="C13" s="16" t="n">
        <v>8</v>
      </c>
      <c r="D13" s="8" t="s">
        <v>62</v>
      </c>
      <c r="E13" s="10" t="s">
        <v>69</v>
      </c>
      <c r="G13" s="17" t="s">
        <v>70</v>
      </c>
      <c r="H13" s="12" t="n">
        <v>22800</v>
      </c>
      <c r="I13" s="9" t="n">
        <v>0.044</v>
      </c>
      <c r="J13" s="18" t="n">
        <v>0.25</v>
      </c>
      <c r="K13" s="9" t="n">
        <v>16.33</v>
      </c>
      <c r="L13" s="9" t="n">
        <v>2.25</v>
      </c>
      <c r="M13" s="9" t="n">
        <v>2.75</v>
      </c>
      <c r="N13" s="19" t="s">
        <v>71</v>
      </c>
    </row>
    <row r="14" customFormat="false" ht="15" hidden="false" customHeight="false" outlineLevel="0" collapsed="false">
      <c r="B14" s="8" t="s">
        <v>72</v>
      </c>
      <c r="C14" s="16" t="n">
        <v>12</v>
      </c>
      <c r="D14" s="8" t="s">
        <v>62</v>
      </c>
      <c r="G14" s="17" t="s">
        <v>73</v>
      </c>
      <c r="H14" s="12" t="n">
        <v>19900</v>
      </c>
      <c r="I14" s="9" t="n">
        <v>0.048</v>
      </c>
      <c r="J14" s="18" t="n">
        <v>0.3</v>
      </c>
      <c r="K14" s="9" t="n">
        <v>15.7</v>
      </c>
      <c r="L14" s="9" t="n">
        <v>1.63</v>
      </c>
      <c r="M14" s="9" t="n">
        <v>3</v>
      </c>
      <c r="N14" s="19" t="s">
        <v>74</v>
      </c>
    </row>
    <row r="15" customFormat="false" ht="15" hidden="false" customHeight="false" outlineLevel="0" collapsed="false">
      <c r="B15" s="8" t="s">
        <v>75</v>
      </c>
      <c r="C15" s="12" t="n">
        <v>15</v>
      </c>
      <c r="D15" s="8" t="s">
        <v>76</v>
      </c>
      <c r="E15" s="10" t="s">
        <v>77</v>
      </c>
      <c r="G15" s="17" t="s">
        <v>78</v>
      </c>
      <c r="H15" s="12" t="n">
        <v>18500</v>
      </c>
      <c r="I15" s="9" t="n">
        <v>55.6</v>
      </c>
      <c r="J15" s="18" t="n">
        <v>0.5</v>
      </c>
      <c r="K15" s="9" t="n">
        <v>14.3</v>
      </c>
      <c r="L15" s="9" t="n">
        <v>1.14</v>
      </c>
      <c r="M15" s="9" t="n">
        <v>3.2</v>
      </c>
      <c r="N15" s="19" t="s">
        <v>79</v>
      </c>
    </row>
    <row r="16" customFormat="false" ht="15" hidden="false" customHeight="false" outlineLevel="0" collapsed="false">
      <c r="B16" s="5" t="s">
        <v>80</v>
      </c>
      <c r="C16" s="6"/>
      <c r="D16" s="6"/>
      <c r="E16" s="6"/>
      <c r="G16" s="17" t="s">
        <v>81</v>
      </c>
      <c r="H16" s="12" t="n">
        <v>8500</v>
      </c>
      <c r="I16" s="9" t="n">
        <v>15</v>
      </c>
      <c r="J16" s="18" t="n">
        <v>1</v>
      </c>
      <c r="K16" s="9" t="n">
        <v>5.9</v>
      </c>
      <c r="L16" s="9" t="n">
        <v>0.9</v>
      </c>
      <c r="M16" s="9" t="n">
        <v>1.74</v>
      </c>
      <c r="N16" s="19" t="s">
        <v>82</v>
      </c>
    </row>
    <row r="17" customFormat="false" ht="15" hidden="false" customHeight="false" outlineLevel="0" collapsed="false">
      <c r="B17" s="8" t="s">
        <v>83</v>
      </c>
      <c r="C17" s="9" t="n">
        <v>1200</v>
      </c>
      <c r="D17" s="8" t="s">
        <v>84</v>
      </c>
      <c r="G17" s="17" t="s">
        <v>85</v>
      </c>
      <c r="H17" s="12" t="n">
        <v>8000</v>
      </c>
      <c r="I17" s="9" t="n">
        <v>12</v>
      </c>
      <c r="J17" s="18" t="n">
        <v>1.3</v>
      </c>
      <c r="K17" s="9" t="n">
        <v>5.82</v>
      </c>
      <c r="L17" s="9" t="n">
        <v>0.58</v>
      </c>
      <c r="M17" s="9" t="n">
        <v>1.74</v>
      </c>
      <c r="N17" s="19" t="s">
        <v>86</v>
      </c>
    </row>
    <row r="18" customFormat="false" ht="15" hidden="false" customHeight="false" outlineLevel="0" collapsed="false">
      <c r="B18" s="8" t="s">
        <v>87</v>
      </c>
      <c r="C18" s="9" t="n">
        <v>60</v>
      </c>
      <c r="D18" s="8" t="s">
        <v>52</v>
      </c>
      <c r="G18" s="17" t="s">
        <v>88</v>
      </c>
      <c r="H18" s="12" t="n">
        <v>12000</v>
      </c>
      <c r="I18" s="9" t="n">
        <v>0.07</v>
      </c>
      <c r="J18" s="18" t="n">
        <v>0.15</v>
      </c>
      <c r="K18" s="9" t="n">
        <v>7.5</v>
      </c>
      <c r="L18" s="9" t="n">
        <v>1</v>
      </c>
      <c r="M18" s="9" t="n">
        <v>2</v>
      </c>
      <c r="N18" s="19" t="s">
        <v>89</v>
      </c>
    </row>
    <row r="19" customFormat="false" ht="15" hidden="false" customHeight="false" outlineLevel="0" collapsed="false">
      <c r="B19" s="8" t="s">
        <v>90</v>
      </c>
      <c r="C19" s="20" t="n">
        <v>0.01</v>
      </c>
      <c r="D19" s="8" t="s">
        <v>91</v>
      </c>
      <c r="E19" s="10" t="s">
        <v>92</v>
      </c>
    </row>
    <row r="20" customFormat="false" ht="15" hidden="false" customHeight="false" outlineLevel="0" collapsed="false">
      <c r="B20" s="5" t="s">
        <v>93</v>
      </c>
      <c r="C20" s="6"/>
      <c r="D20" s="6"/>
      <c r="E20" s="6"/>
    </row>
    <row r="21" customFormat="false" ht="15" hidden="false" customHeight="false" outlineLevel="0" collapsed="false">
      <c r="B21" s="8" t="s">
        <v>94</v>
      </c>
      <c r="C21" s="9" t="s">
        <v>36</v>
      </c>
      <c r="D21" s="8"/>
      <c r="E21" s="10" t="s">
        <v>95</v>
      </c>
    </row>
    <row r="22" customFormat="false" ht="15" hidden="false" customHeight="false" outlineLevel="0" collapsed="false">
      <c r="B22" s="8" t="s">
        <v>96</v>
      </c>
      <c r="C22" s="21" t="n">
        <f aca="false">INDEX($H$5:$H$9,MATCH(C21,$G$5:$G$9,0))</f>
        <v>1750</v>
      </c>
      <c r="D22" s="8" t="s">
        <v>97</v>
      </c>
      <c r="E22" s="10" t="s">
        <v>98</v>
      </c>
    </row>
    <row r="23" customFormat="false" ht="15" hidden="false" customHeight="false" outlineLevel="0" collapsed="false">
      <c r="B23" s="8" t="s">
        <v>60</v>
      </c>
      <c r="C23" s="9" t="s">
        <v>70</v>
      </c>
      <c r="D23" s="8"/>
      <c r="E23" s="10" t="s">
        <v>99</v>
      </c>
    </row>
    <row r="24" customFormat="false" ht="15" hidden="false" customHeight="false" outlineLevel="0" collapsed="false">
      <c r="B24" s="8" t="s">
        <v>100</v>
      </c>
      <c r="C24" s="21" t="n">
        <f aca="false">INDEX($H$13:$H$18,MATCH(C23,$G$13:$G$18,0))</f>
        <v>22800</v>
      </c>
      <c r="D24" s="8" t="s">
        <v>101</v>
      </c>
    </row>
    <row r="25" customFormat="false" ht="15" hidden="false" customHeight="false" outlineLevel="0" collapsed="false">
      <c r="B25" s="8" t="s">
        <v>102</v>
      </c>
      <c r="C25" s="22" t="n">
        <f aca="false">INDEX($J$13:$J$18,MATCH(C23,$G$13:$G$18,0))</f>
        <v>0.25</v>
      </c>
      <c r="D25" s="8" t="s">
        <v>103</v>
      </c>
    </row>
    <row r="26" customFormat="false" ht="15" hidden="false" customHeight="false" outlineLevel="0" collapsed="false">
      <c r="B26" s="8" t="s">
        <v>104</v>
      </c>
      <c r="C26" s="23" t="n">
        <f aca="false">INDEX($K$13:$K$18,MATCH(C23,$G$13:$G$18,0))</f>
        <v>16.33</v>
      </c>
      <c r="D26" s="8" t="s">
        <v>105</v>
      </c>
    </row>
    <row r="27" customFormat="false" ht="15" hidden="false" customHeight="false" outlineLevel="0" collapsed="false">
      <c r="B27" s="8" t="s">
        <v>106</v>
      </c>
      <c r="C27" s="23" t="n">
        <f aca="false">INDEX($L$13:$L$18,MATCH(C23,$G$13:$G$18,0))</f>
        <v>2.25</v>
      </c>
      <c r="D27" s="8" t="s">
        <v>107</v>
      </c>
      <c r="E27" s="10" t="s">
        <v>108</v>
      </c>
    </row>
    <row r="28" customFormat="false" ht="15" hidden="false" customHeight="false" outlineLevel="0" collapsed="false">
      <c r="B28" s="8" t="s">
        <v>109</v>
      </c>
      <c r="C28" s="23" t="n">
        <f aca="false">INDEX($M$13:$M$18,MATCH(C23,$G$13:$G$18,0))</f>
        <v>2.75</v>
      </c>
      <c r="D28" s="8" t="s">
        <v>110</v>
      </c>
    </row>
    <row r="29" customFormat="false" ht="15" hidden="false" customHeight="false" outlineLevel="0" collapsed="false">
      <c r="B29" s="8" t="s">
        <v>111</v>
      </c>
      <c r="C29" s="12" t="n">
        <v>600</v>
      </c>
      <c r="D29" s="8" t="s">
        <v>52</v>
      </c>
      <c r="E29" s="10" t="s">
        <v>112</v>
      </c>
    </row>
    <row r="30" customFormat="false" ht="15" hidden="false" customHeight="false" outlineLevel="0" collapsed="false">
      <c r="B30" s="8" t="s">
        <v>113</v>
      </c>
      <c r="C30" s="12" t="n">
        <v>180</v>
      </c>
      <c r="D30" s="8" t="s">
        <v>52</v>
      </c>
      <c r="E30" s="10" t="s">
        <v>114</v>
      </c>
    </row>
    <row r="31" customFormat="false" ht="15" hidden="false" customHeight="false" outlineLevel="0" collapsed="false">
      <c r="B31" s="8" t="s">
        <v>115</v>
      </c>
      <c r="C31" s="18" t="n">
        <v>0.9</v>
      </c>
      <c r="D31" s="8" t="s">
        <v>103</v>
      </c>
      <c r="E31" s="10" t="s">
        <v>116</v>
      </c>
    </row>
    <row r="32" customFormat="false" ht="15" hidden="false" customHeight="false" outlineLevel="0" collapsed="false">
      <c r="B32" s="8" t="s">
        <v>117</v>
      </c>
      <c r="C32" s="18" t="n">
        <v>0.03</v>
      </c>
      <c r="D32" s="8" t="s">
        <v>118</v>
      </c>
    </row>
    <row r="33" customFormat="false" ht="15" hidden="false" customHeight="false" outlineLevel="0" collapsed="false">
      <c r="B33" s="8" t="s">
        <v>119</v>
      </c>
      <c r="C33" s="18" t="n">
        <v>0.1</v>
      </c>
      <c r="D33" s="8" t="s">
        <v>120</v>
      </c>
      <c r="E33" s="10" t="s">
        <v>121</v>
      </c>
    </row>
    <row r="34" customFormat="false" ht="15" hidden="false" customHeight="false" outlineLevel="0" collapsed="false">
      <c r="B34" s="8" t="s">
        <v>122</v>
      </c>
      <c r="C34" s="14" t="n">
        <v>8</v>
      </c>
      <c r="D34" s="8" t="s">
        <v>123</v>
      </c>
      <c r="E34" s="10" t="s">
        <v>124</v>
      </c>
    </row>
    <row r="35" customFormat="false" ht="15" hidden="false" customHeight="false" outlineLevel="0" collapsed="false">
      <c r="B35" s="5" t="s">
        <v>125</v>
      </c>
      <c r="C35" s="6"/>
      <c r="D35" s="6"/>
      <c r="E35" s="6"/>
    </row>
    <row r="36" customFormat="false" ht="15" hidden="false" customHeight="false" outlineLevel="0" collapsed="false">
      <c r="B36" s="8" t="s">
        <v>126</v>
      </c>
      <c r="C36" s="12" t="n">
        <v>350</v>
      </c>
      <c r="D36" s="8" t="s">
        <v>127</v>
      </c>
      <c r="E36" s="10" t="s">
        <v>128</v>
      </c>
    </row>
    <row r="37" customFormat="false" ht="15" hidden="false" customHeight="false" outlineLevel="0" collapsed="false">
      <c r="B37" s="8" t="s">
        <v>129</v>
      </c>
      <c r="C37" s="16" t="n">
        <v>10</v>
      </c>
      <c r="D37" s="8" t="s">
        <v>130</v>
      </c>
      <c r="E37" s="10" t="s">
        <v>131</v>
      </c>
    </row>
    <row r="38" customFormat="false" ht="15" hidden="false" customHeight="false" outlineLevel="0" collapsed="false">
      <c r="B38" s="8" t="s">
        <v>132</v>
      </c>
      <c r="C38" s="18" t="n">
        <v>0.65</v>
      </c>
      <c r="D38" s="8" t="s">
        <v>103</v>
      </c>
    </row>
    <row r="39" customFormat="false" ht="15" hidden="false" customHeight="false" outlineLevel="0" collapsed="false">
      <c r="B39" s="8" t="s">
        <v>133</v>
      </c>
      <c r="C39" s="12" t="n">
        <v>5000</v>
      </c>
      <c r="D39" s="8" t="s">
        <v>127</v>
      </c>
      <c r="E39" s="10" t="s">
        <v>134</v>
      </c>
    </row>
    <row r="40" customFormat="false" ht="15" hidden="false" customHeight="false" outlineLevel="0" collapsed="false">
      <c r="B40" s="8" t="s">
        <v>135</v>
      </c>
      <c r="C40" s="12" t="n">
        <v>3300</v>
      </c>
      <c r="D40" s="8" t="s">
        <v>127</v>
      </c>
      <c r="E40" s="10" t="s">
        <v>136</v>
      </c>
    </row>
    <row r="41" customFormat="false" ht="15" hidden="false" customHeight="false" outlineLevel="0" collapsed="false">
      <c r="B41" s="8" t="s">
        <v>137</v>
      </c>
      <c r="C41" s="16" t="n">
        <v>3</v>
      </c>
      <c r="D41" s="8" t="s">
        <v>138</v>
      </c>
      <c r="E41" s="10" t="s">
        <v>139</v>
      </c>
    </row>
    <row r="42" customFormat="false" ht="15" hidden="false" customHeight="false" outlineLevel="0" collapsed="false">
      <c r="B42" s="8" t="s">
        <v>140</v>
      </c>
      <c r="C42" s="18" t="n">
        <v>0.2</v>
      </c>
      <c r="D42" s="8" t="s">
        <v>103</v>
      </c>
    </row>
    <row r="43" customFormat="false" ht="15" hidden="false" customHeight="false" outlineLevel="0" collapsed="false">
      <c r="B43" s="8" t="s">
        <v>141</v>
      </c>
      <c r="C43" s="18" t="n">
        <v>0.15</v>
      </c>
      <c r="D43" s="8" t="s">
        <v>103</v>
      </c>
    </row>
    <row r="44" customFormat="false" ht="15" hidden="false" customHeight="false" outlineLevel="0" collapsed="false">
      <c r="B44" s="8" t="s">
        <v>142</v>
      </c>
      <c r="C44" s="12" t="n">
        <v>1200</v>
      </c>
      <c r="D44" s="8" t="s">
        <v>143</v>
      </c>
      <c r="E44" s="10" t="s">
        <v>144</v>
      </c>
    </row>
    <row r="45" customFormat="false" ht="15" hidden="false" customHeight="false" outlineLevel="0" collapsed="false">
      <c r="B45" s="5" t="s">
        <v>145</v>
      </c>
      <c r="C45" s="6"/>
      <c r="D45" s="6"/>
      <c r="E45" s="6"/>
    </row>
    <row r="46" customFormat="false" ht="15" hidden="false" customHeight="false" outlineLevel="0" collapsed="false">
      <c r="B46" s="8" t="s">
        <v>146</v>
      </c>
      <c r="C46" s="12" t="n">
        <v>24</v>
      </c>
      <c r="D46" s="8" t="s">
        <v>147</v>
      </c>
    </row>
    <row r="47" customFormat="false" ht="15" hidden="false" customHeight="false" outlineLevel="0" collapsed="false">
      <c r="B47" s="8" t="s">
        <v>148</v>
      </c>
      <c r="C47" s="12" t="n">
        <v>312</v>
      </c>
      <c r="D47" s="8" t="s">
        <v>149</v>
      </c>
    </row>
    <row r="48" customFormat="false" ht="15" hidden="false" customHeight="false" outlineLevel="0" collapsed="false">
      <c r="B48" s="8" t="s">
        <v>150</v>
      </c>
      <c r="C48" s="21" t="n">
        <f aca="false">C46*C47</f>
        <v>7488</v>
      </c>
      <c r="D48" s="8" t="s">
        <v>151</v>
      </c>
    </row>
  </sheetData>
  <dataValidations count="2">
    <dataValidation allowBlank="false" errorStyle="stop" operator="between" showDropDown="false" showErrorMessage="false" showInputMessage="false" sqref="C21" type="list">
      <formula1>$G$5:$G$9</formula1>
      <formula2>0</formula2>
    </dataValidation>
    <dataValidation allowBlank="false" errorStyle="stop" operator="between" showDropDown="false" showErrorMessage="false" showInputMessage="false" sqref="C23" type="list">
      <formula1>$G$13:$G$18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60"/>
  </cols>
  <sheetData>
    <row r="1" customFormat="false" ht="16.15" hidden="false" customHeight="false" outlineLevel="0" collapsed="false">
      <c r="B1" s="4" t="s">
        <v>152</v>
      </c>
    </row>
    <row r="3" customFormat="false" ht="15" hidden="false" customHeight="false" outlineLevel="0" collapsed="false">
      <c r="B3" s="5" t="s">
        <v>153</v>
      </c>
      <c r="C3" s="6"/>
      <c r="D3" s="6"/>
      <c r="E3" s="6"/>
    </row>
    <row r="4" customFormat="false" ht="15" hidden="false" customHeight="false" outlineLevel="0" collapsed="false">
      <c r="B4" s="8" t="s">
        <v>154</v>
      </c>
      <c r="C4" s="24" t="n">
        <f aca="false">Inputs!$C$7</f>
        <v>3000</v>
      </c>
      <c r="D4" s="8" t="s">
        <v>41</v>
      </c>
    </row>
    <row r="5" customFormat="false" ht="15" hidden="false" customHeight="false" outlineLevel="0" collapsed="false">
      <c r="B5" s="8" t="s">
        <v>155</v>
      </c>
      <c r="C5" s="21" t="n">
        <f aca="false">Inputs!$C$7*(1-Inputs!$C$8)</f>
        <v>1500</v>
      </c>
      <c r="D5" s="8" t="s">
        <v>41</v>
      </c>
    </row>
    <row r="6" customFormat="false" ht="15" hidden="false" customHeight="false" outlineLevel="0" collapsed="false">
      <c r="B6" s="8" t="s">
        <v>156</v>
      </c>
      <c r="C6" s="21" t="n">
        <f aca="false">Inputs!$C$7*Inputs!$C$8</f>
        <v>1500</v>
      </c>
      <c r="D6" s="8" t="s">
        <v>41</v>
      </c>
    </row>
    <row r="7" customFormat="false" ht="15" hidden="false" customHeight="false" outlineLevel="0" collapsed="false">
      <c r="B7" s="7" t="s">
        <v>157</v>
      </c>
      <c r="C7" s="25" t="n">
        <f aca="false">HMB!$C$5/(1-Inputs!$C$9)</f>
        <v>1666.66666666667</v>
      </c>
      <c r="D7" s="8" t="s">
        <v>41</v>
      </c>
    </row>
    <row r="8" customFormat="false" ht="15" hidden="false" customHeight="false" outlineLevel="0" collapsed="false">
      <c r="B8" s="8" t="s">
        <v>158</v>
      </c>
      <c r="C8" s="21" t="n">
        <f aca="false">HMB!$C$7-HMB!$C$5</f>
        <v>166.666666666667</v>
      </c>
      <c r="D8" s="8" t="s">
        <v>41</v>
      </c>
    </row>
    <row r="9" customFormat="false" ht="15" hidden="false" customHeight="false" outlineLevel="0" collapsed="false">
      <c r="B9" s="7" t="s">
        <v>159</v>
      </c>
      <c r="C9" s="25" t="n">
        <f aca="false">HMB!$C$6-HMB!$C$8</f>
        <v>1333.33333333333</v>
      </c>
      <c r="D9" s="8" t="s">
        <v>41</v>
      </c>
      <c r="E9" s="10" t="s">
        <v>160</v>
      </c>
    </row>
    <row r="10" customFormat="false" ht="15" hidden="false" customHeight="false" outlineLevel="0" collapsed="false">
      <c r="B10" s="8" t="s">
        <v>159</v>
      </c>
      <c r="C10" s="26" t="n">
        <f aca="false">HMB!$C$9/8.345</f>
        <v>159.776313161574</v>
      </c>
      <c r="D10" s="8" t="s">
        <v>161</v>
      </c>
    </row>
    <row r="11" customFormat="false" ht="15" hidden="false" customHeight="false" outlineLevel="0" collapsed="false">
      <c r="B11" s="8" t="s">
        <v>162</v>
      </c>
      <c r="C11" s="23" t="n">
        <f aca="false">HMB!$C$7/2000</f>
        <v>0.833333333333333</v>
      </c>
      <c r="D11" s="8" t="s">
        <v>163</v>
      </c>
    </row>
    <row r="12" customFormat="false" ht="15" hidden="false" customHeight="false" outlineLevel="0" collapsed="false">
      <c r="B12" s="5" t="s">
        <v>164</v>
      </c>
      <c r="C12" s="6"/>
      <c r="D12" s="6"/>
      <c r="E12" s="6"/>
    </row>
    <row r="13" customFormat="false" ht="15" hidden="false" customHeight="false" outlineLevel="0" collapsed="false">
      <c r="B13" s="8" t="s">
        <v>165</v>
      </c>
      <c r="C13" s="26" t="n">
        <f aca="false">1.01*(212-Inputs!$C$10)+970.4</f>
        <v>1123.92</v>
      </c>
      <c r="D13" s="8" t="s">
        <v>101</v>
      </c>
      <c r="E13" s="10" t="s">
        <v>166</v>
      </c>
    </row>
    <row r="14" customFormat="false" ht="15" hidden="false" customHeight="false" outlineLevel="0" collapsed="false">
      <c r="B14" s="8" t="s">
        <v>167</v>
      </c>
      <c r="C14" s="24" t="n">
        <f aca="false">Inputs!$C$22</f>
        <v>1750</v>
      </c>
      <c r="D14" s="8" t="s">
        <v>101</v>
      </c>
    </row>
    <row r="15" customFormat="false" ht="15" hidden="false" customHeight="false" outlineLevel="0" collapsed="false">
      <c r="B15" s="7" t="s">
        <v>168</v>
      </c>
      <c r="C15" s="25" t="n">
        <f aca="false">HMB!$C$9*HMB!$C$14</f>
        <v>2333333.33333333</v>
      </c>
      <c r="D15" s="8" t="s">
        <v>169</v>
      </c>
      <c r="E15" s="10" t="s">
        <v>170</v>
      </c>
    </row>
    <row r="16" customFormat="false" ht="15" hidden="false" customHeight="false" outlineLevel="0" collapsed="false">
      <c r="B16" s="8" t="s">
        <v>168</v>
      </c>
      <c r="C16" s="23" t="n">
        <f aca="false">HMB!$C$15/1000000</f>
        <v>2.33333333333333</v>
      </c>
      <c r="D16" s="8" t="s">
        <v>171</v>
      </c>
    </row>
    <row r="17" customFormat="false" ht="15" hidden="false" customHeight="false" outlineLevel="0" collapsed="false">
      <c r="B17" s="5" t="s">
        <v>172</v>
      </c>
      <c r="C17" s="6"/>
      <c r="D17" s="6"/>
      <c r="E17" s="6"/>
    </row>
    <row r="18" customFormat="false" ht="15" hidden="false" customHeight="false" outlineLevel="0" collapsed="false">
      <c r="B18" s="8" t="s">
        <v>173</v>
      </c>
      <c r="C18" s="21" t="n">
        <f aca="false">HMB!$C$5*Inputs!$C$12*(Inputs!$C$11-Inputs!$C$10)</f>
        <v>73500</v>
      </c>
      <c r="D18" s="8" t="s">
        <v>169</v>
      </c>
    </row>
    <row r="19" customFormat="false" ht="15" hidden="false" customHeight="false" outlineLevel="0" collapsed="false">
      <c r="B19" s="8" t="s">
        <v>174</v>
      </c>
      <c r="C19" s="21" t="n">
        <f aca="false">HMB!$C$8*1*(Inputs!$C$11-Inputs!$C$10)</f>
        <v>23333.3333333333</v>
      </c>
      <c r="D19" s="8" t="s">
        <v>169</v>
      </c>
    </row>
    <row r="20" customFormat="false" ht="15" hidden="false" customHeight="false" outlineLevel="0" collapsed="false">
      <c r="B20" s="8" t="s">
        <v>175</v>
      </c>
      <c r="C20" s="21" t="n">
        <f aca="false">HMB!$C$9*1.01*(212-Inputs!$C$10)</f>
        <v>204693.333333333</v>
      </c>
      <c r="D20" s="8" t="s">
        <v>169</v>
      </c>
    </row>
    <row r="21" customFormat="false" ht="15" hidden="false" customHeight="false" outlineLevel="0" collapsed="false">
      <c r="B21" s="8" t="s">
        <v>176</v>
      </c>
      <c r="C21" s="21" t="n">
        <f aca="false">HMB!$C$9*970.4</f>
        <v>1293866.66666667</v>
      </c>
      <c r="D21" s="8" t="s">
        <v>169</v>
      </c>
    </row>
    <row r="22" customFormat="false" ht="15" hidden="false" customHeight="false" outlineLevel="0" collapsed="false">
      <c r="B22" s="8" t="s">
        <v>177</v>
      </c>
      <c r="C22" s="21" t="n">
        <f aca="false">HMB!$C$9*0.45*(Inputs!$C$30-212)</f>
        <v>-19200</v>
      </c>
      <c r="D22" s="8" t="s">
        <v>169</v>
      </c>
      <c r="E22" s="10" t="s">
        <v>178</v>
      </c>
    </row>
    <row r="23" customFormat="false" ht="15" hidden="false" customHeight="false" outlineLevel="0" collapsed="false">
      <c r="B23" s="7" t="s">
        <v>179</v>
      </c>
      <c r="C23" s="25" t="n">
        <f aca="false">SUM($C$18:$C$22)</f>
        <v>1576193.33333333</v>
      </c>
      <c r="D23" s="8" t="s">
        <v>169</v>
      </c>
    </row>
    <row r="24" customFormat="false" ht="15" hidden="false" customHeight="false" outlineLevel="0" collapsed="false">
      <c r="B24" s="8" t="s">
        <v>180</v>
      </c>
      <c r="C24" s="27" t="n">
        <f aca="false">Inputs!$C$31*(Inputs!$C$29-Inputs!$C$30)/(Inputs!$C$29-Inputs!$C$18)</f>
        <v>0.7</v>
      </c>
      <c r="D24" s="8" t="s">
        <v>103</v>
      </c>
      <c r="E24" s="10" t="s">
        <v>181</v>
      </c>
    </row>
    <row r="25" customFormat="false" ht="15" hidden="false" customHeight="false" outlineLevel="0" collapsed="false">
      <c r="B25" s="7" t="s">
        <v>182</v>
      </c>
      <c r="C25" s="25" t="n">
        <f aca="false">HMB!$C$23/(HMB!$C$24-Inputs!$C$32)</f>
        <v>2352527.36318408</v>
      </c>
      <c r="D25" s="8" t="s">
        <v>169</v>
      </c>
      <c r="E25" s="10" t="s">
        <v>183</v>
      </c>
    </row>
    <row r="26" customFormat="false" ht="15" hidden="false" customHeight="false" outlineLevel="0" collapsed="false">
      <c r="B26" s="8" t="s">
        <v>182</v>
      </c>
      <c r="C26" s="23" t="n">
        <f aca="false">HMB!$C$25/1000000</f>
        <v>2.35252736318408</v>
      </c>
      <c r="D26" s="8" t="s">
        <v>171</v>
      </c>
    </row>
    <row r="27" customFormat="false" ht="15" hidden="false" customHeight="false" outlineLevel="0" collapsed="false">
      <c r="B27" s="7" t="s">
        <v>184</v>
      </c>
      <c r="C27" s="25" t="n">
        <f aca="false">HMB!$C$25/HMB!$C$9</f>
        <v>1764.39552238806</v>
      </c>
      <c r="D27" s="8" t="s">
        <v>101</v>
      </c>
    </row>
    <row r="28" customFormat="false" ht="15" hidden="false" customHeight="false" outlineLevel="0" collapsed="false">
      <c r="B28" s="8" t="s">
        <v>185</v>
      </c>
      <c r="C28" s="21" t="str">
        <f aca="false">IF(ABS(HMB!$C$27/HMB!$C$14-1)&lt;=0.15,"WITHIN 15% OF MCE FACTOR",IF(HMB!$C$27&gt;HMB!$C$14,"RIGOROUS IS HIGHER: raise inlet temp or accept higher fuel","RIGOROUS IS LOWER: MCE factor is conservative here"))</f>
        <v>WITHIN 15% OF MCE FACTOR</v>
      </c>
      <c r="D28" s="8"/>
      <c r="E28" s="10" t="s">
        <v>186</v>
      </c>
    </row>
    <row r="29" customFormat="false" ht="15" hidden="false" customHeight="false" outlineLevel="0" collapsed="false">
      <c r="B29" s="7" t="s">
        <v>187</v>
      </c>
      <c r="C29" s="25" t="n">
        <f aca="false">MAX(HMB!$C$15,HMB!$C$25)</f>
        <v>2352527.36318408</v>
      </c>
      <c r="D29" s="8" t="s">
        <v>169</v>
      </c>
      <c r="E29" s="10" t="s">
        <v>188</v>
      </c>
    </row>
    <row r="30" customFormat="false" ht="15" hidden="false" customHeight="false" outlineLevel="0" collapsed="false">
      <c r="B30" s="5" t="s">
        <v>189</v>
      </c>
      <c r="C30" s="6"/>
      <c r="D30" s="6"/>
      <c r="E30" s="6"/>
    </row>
    <row r="31" customFormat="false" ht="15" hidden="false" customHeight="false" outlineLevel="0" collapsed="false">
      <c r="B31" s="7" t="s">
        <v>190</v>
      </c>
      <c r="C31" s="28" t="n">
        <f aca="false">HMB!$C$29/Inputs!$C$24</f>
        <v>103.181024701056</v>
      </c>
      <c r="D31" s="8" t="s">
        <v>41</v>
      </c>
    </row>
    <row r="32" customFormat="false" ht="15" hidden="false" customHeight="false" outlineLevel="0" collapsed="false">
      <c r="B32" s="8" t="s">
        <v>191</v>
      </c>
      <c r="C32" s="26" t="n">
        <f aca="false">HMB!$C$31/INDEX(Inputs!$I$13:$I$18,MATCH(Inputs!$C$23,Inputs!$G$13:$G$18,0))/60</f>
        <v>39.0837214776728</v>
      </c>
      <c r="D32" s="8" t="s">
        <v>192</v>
      </c>
      <c r="E32" s="10" t="s">
        <v>193</v>
      </c>
    </row>
    <row r="33" customFormat="false" ht="15" hidden="false" customHeight="false" outlineLevel="0" collapsed="false">
      <c r="B33" s="8" t="s">
        <v>194</v>
      </c>
      <c r="C33" s="21" t="n">
        <f aca="false">HMB!$C$31*Inputs!$C$26*(1+Inputs!$C$25)</f>
        <v>2106.18266671031</v>
      </c>
      <c r="D33" s="8" t="s">
        <v>41</v>
      </c>
    </row>
    <row r="34" customFormat="false" ht="15" hidden="false" customHeight="false" outlineLevel="0" collapsed="false">
      <c r="B34" s="8" t="s">
        <v>195</v>
      </c>
      <c r="C34" s="21" t="n">
        <f aca="false">HMB!$C$31+HMB!$C$33</f>
        <v>2209.36369141136</v>
      </c>
      <c r="D34" s="8" t="s">
        <v>41</v>
      </c>
    </row>
    <row r="35" customFormat="false" ht="15" hidden="false" customHeight="false" outlineLevel="0" collapsed="false">
      <c r="B35" s="8" t="s">
        <v>196</v>
      </c>
      <c r="C35" s="21" t="n">
        <f aca="false">HMB!$C$31*Inputs!$C$27+HMB!$C$33*Inputs!$C$19</f>
        <v>253.219132244479</v>
      </c>
      <c r="D35" s="8" t="s">
        <v>41</v>
      </c>
    </row>
    <row r="36" customFormat="false" ht="15" hidden="false" customHeight="false" outlineLevel="0" collapsed="false">
      <c r="B36" s="8" t="s">
        <v>197</v>
      </c>
      <c r="C36" s="21" t="n">
        <f aca="false">Inputs!$C$18+HMB!$C$29*Inputs!$C$31/(0.27*HMB!$C$34)</f>
        <v>3609.32866316404</v>
      </c>
      <c r="D36" s="8" t="s">
        <v>52</v>
      </c>
      <c r="E36" s="10" t="s">
        <v>198</v>
      </c>
    </row>
    <row r="37" customFormat="false" ht="15" hidden="false" customHeight="false" outlineLevel="0" collapsed="false">
      <c r="B37" s="5" t="s">
        <v>199</v>
      </c>
      <c r="C37" s="6"/>
      <c r="D37" s="6"/>
      <c r="E37" s="6"/>
    </row>
    <row r="38" customFormat="false" ht="15" hidden="false" customHeight="false" outlineLevel="0" collapsed="false">
      <c r="B38" s="7" t="s">
        <v>200</v>
      </c>
      <c r="C38" s="25" t="n">
        <f aca="false">HMB!$C$29*Inputs!$C$31/(0.24*(Inputs!$C$29-Inputs!$C$18))</f>
        <v>16336.9955776672</v>
      </c>
      <c r="D38" s="8" t="s">
        <v>41</v>
      </c>
      <c r="E38" s="10" t="s">
        <v>201</v>
      </c>
    </row>
    <row r="39" customFormat="false" ht="15" hidden="false" customHeight="false" outlineLevel="0" collapsed="false">
      <c r="B39" s="8" t="s">
        <v>202</v>
      </c>
      <c r="C39" s="21" t="n">
        <f aca="false">HMB!$C$38-HMB!$C$34</f>
        <v>14127.6318862559</v>
      </c>
      <c r="D39" s="8" t="s">
        <v>41</v>
      </c>
      <c r="E39" s="10" t="s">
        <v>203</v>
      </c>
    </row>
    <row r="40" customFormat="false" ht="15" hidden="false" customHeight="false" outlineLevel="0" collapsed="false">
      <c r="B40" s="8" t="s">
        <v>204</v>
      </c>
      <c r="C40" s="21" t="str">
        <f aca="false">IF(HMB!$C$39&lt;0,"INLET TEMP TOO HIGH FOR THIS FUEL / EXCESS AIR","OK")</f>
        <v>OK</v>
      </c>
      <c r="D40" s="8"/>
    </row>
    <row r="41" customFormat="false" ht="15" hidden="false" customHeight="false" outlineLevel="0" collapsed="false">
      <c r="B41" s="8" t="s">
        <v>205</v>
      </c>
      <c r="C41" s="21" t="n">
        <f aca="false">HMB!$C$38*Inputs!$C$33</f>
        <v>1633.69955776672</v>
      </c>
      <c r="D41" s="8" t="s">
        <v>41</v>
      </c>
    </row>
    <row r="42" customFormat="false" ht="15" hidden="false" customHeight="false" outlineLevel="0" collapsed="false">
      <c r="B42" s="8" t="s">
        <v>206</v>
      </c>
      <c r="C42" s="21" t="n">
        <f aca="false">HMB!$C$38+HMB!$C$41</f>
        <v>17970.6951354339</v>
      </c>
      <c r="D42" s="8" t="s">
        <v>41</v>
      </c>
    </row>
    <row r="43" customFormat="false" ht="15" hidden="false" customHeight="false" outlineLevel="0" collapsed="false">
      <c r="B43" s="8" t="s">
        <v>207</v>
      </c>
      <c r="C43" s="21" t="n">
        <f aca="false">HMB!$C$35+(HMB!$C$39+HMB!$C$41)*Inputs!$C$19+HMB!$C$9</f>
        <v>1744.16578001804</v>
      </c>
      <c r="D43" s="8" t="s">
        <v>41</v>
      </c>
    </row>
    <row r="44" customFormat="false" ht="15" hidden="false" customHeight="false" outlineLevel="0" collapsed="false">
      <c r="B44" s="7" t="s">
        <v>208</v>
      </c>
      <c r="C44" s="25" t="n">
        <f aca="false">HMB!$C$42+HMB!$C$43</f>
        <v>19714.860915452</v>
      </c>
      <c r="D44" s="8" t="s">
        <v>41</v>
      </c>
    </row>
    <row r="45" customFormat="false" ht="15" hidden="false" customHeight="false" outlineLevel="0" collapsed="false">
      <c r="B45" s="8" t="s">
        <v>209</v>
      </c>
      <c r="C45" s="27" t="n">
        <f aca="false">HMB!$C$43/HMB!$C$42</f>
        <v>0.097056110900182</v>
      </c>
      <c r="D45" s="8" t="s">
        <v>210</v>
      </c>
    </row>
    <row r="46" customFormat="false" ht="15" hidden="false" customHeight="false" outlineLevel="0" collapsed="false">
      <c r="B46" s="8" t="s">
        <v>211</v>
      </c>
      <c r="C46" s="29" t="n">
        <f aca="false">(1-0.0000068754*Inputs!$C$17)^5.2559</f>
        <v>0.95739083626451</v>
      </c>
      <c r="D46" s="8"/>
      <c r="E46" s="10" t="s">
        <v>212</v>
      </c>
    </row>
    <row r="47" customFormat="false" ht="15" hidden="false" customHeight="false" outlineLevel="0" collapsed="false">
      <c r="B47" s="8" t="s">
        <v>213</v>
      </c>
      <c r="C47" s="29" t="n">
        <f aca="false">0.0765*530/(460+Inputs!$C$30)*HMB!$C$46</f>
        <v>0.0606522054005384</v>
      </c>
      <c r="D47" s="8" t="s">
        <v>62</v>
      </c>
    </row>
    <row r="48" customFormat="false" ht="15" hidden="false" customHeight="false" outlineLevel="0" collapsed="false">
      <c r="B48" s="8" t="s">
        <v>214</v>
      </c>
      <c r="C48" s="29" t="n">
        <f aca="false">0.0476*530/(460+Inputs!$C$30)*HMB!$C$46</f>
        <v>0.0377391500270017</v>
      </c>
      <c r="D48" s="8" t="s">
        <v>62</v>
      </c>
    </row>
    <row r="49" customFormat="false" ht="15" hidden="false" customHeight="false" outlineLevel="0" collapsed="false">
      <c r="B49" s="7" t="s">
        <v>215</v>
      </c>
      <c r="C49" s="25" t="n">
        <f aca="false">HMB!$C$42/HMB!$C$47/60+HMB!$C$43/HMB!$C$48/60</f>
        <v>5708.45379083241</v>
      </c>
      <c r="D49" s="8" t="s">
        <v>216</v>
      </c>
      <c r="E49" s="10" t="s">
        <v>217</v>
      </c>
    </row>
    <row r="50" customFormat="false" ht="15" hidden="false" customHeight="false" outlineLevel="0" collapsed="false">
      <c r="B50" s="8" t="s">
        <v>218</v>
      </c>
      <c r="C50" s="21" t="n">
        <f aca="false">HMB!$C$42/0.075/60+HMB!$C$43/0.0467/60</f>
        <v>4615.95953521827</v>
      </c>
      <c r="D50" s="8" t="s">
        <v>219</v>
      </c>
    </row>
    <row r="51" customFormat="false" ht="15" hidden="false" customHeight="false" outlineLevel="0" collapsed="false">
      <c r="B51" s="8" t="s">
        <v>220</v>
      </c>
      <c r="C51" s="21" t="n">
        <f aca="false">(HMB!$C$38/(0.0765*530/(460+Inputs!$C$29)*HMB!$C$46)+HMB!$C$35/(0.0476*530/(460+Inputs!$C$29)*HMB!$C$46))/60</f>
        <v>7620.54600641747</v>
      </c>
      <c r="D51" s="8" t="s">
        <v>216</v>
      </c>
      <c r="E51" s="10" t="s">
        <v>221</v>
      </c>
    </row>
    <row r="52" customFormat="false" ht="15" hidden="false" customHeight="false" outlineLevel="0" collapsed="false">
      <c r="B52" s="8" t="s">
        <v>222</v>
      </c>
      <c r="C52" s="26" t="n">
        <f aca="false">HMB!$C$42/HMB!$C$7</f>
        <v>10.7824170812604</v>
      </c>
      <c r="D52" s="8" t="s">
        <v>138</v>
      </c>
    </row>
    <row r="53" customFormat="false" ht="15" hidden="false" customHeight="false" outlineLevel="0" collapsed="false">
      <c r="B53" s="8" t="s">
        <v>223</v>
      </c>
      <c r="C53" s="21" t="str">
        <f aca="false">IF(HMB!$C$52&gt;=Inputs!$C$41,"CONVEYING CAN OCCUR","CONVEYING CANNOT OCCUR: add recycle or raise airflow")</f>
        <v>CONVEYING CAN OCCUR</v>
      </c>
      <c r="D53" s="8"/>
    </row>
    <row r="54" customFormat="false" ht="15" hidden="false" customHeight="false" outlineLevel="0" collapsed="false">
      <c r="B54" s="5" t="s">
        <v>224</v>
      </c>
      <c r="C54" s="6"/>
      <c r="D54" s="6"/>
      <c r="E54" s="6"/>
    </row>
    <row r="55" customFormat="false" ht="15" hidden="false" customHeight="false" outlineLevel="0" collapsed="false">
      <c r="B55" s="8" t="s">
        <v>225</v>
      </c>
      <c r="C55" s="21" t="n">
        <f aca="false">HMB!$C$29</f>
        <v>2352527.36318408</v>
      </c>
      <c r="D55" s="8" t="s">
        <v>169</v>
      </c>
    </row>
    <row r="56" customFormat="false" ht="15" hidden="false" customHeight="false" outlineLevel="0" collapsed="false">
      <c r="B56" s="8" t="s">
        <v>226</v>
      </c>
      <c r="C56" s="21" t="n">
        <f aca="false">HMB!$C$29*(1-Inputs!$C$31)</f>
        <v>235252.736318408</v>
      </c>
      <c r="D56" s="8" t="s">
        <v>169</v>
      </c>
    </row>
    <row r="57" customFormat="false" ht="15" hidden="false" customHeight="false" outlineLevel="0" collapsed="false">
      <c r="B57" s="8" t="s">
        <v>227</v>
      </c>
      <c r="C57" s="21" t="n">
        <f aca="false">HMB!$C$23*HMB!$C$29/HMB!$C$25</f>
        <v>1576193.33333333</v>
      </c>
      <c r="D57" s="8" t="s">
        <v>169</v>
      </c>
      <c r="E57" s="10" t="s">
        <v>228</v>
      </c>
    </row>
    <row r="58" customFormat="false" ht="15" hidden="false" customHeight="false" outlineLevel="0" collapsed="false">
      <c r="B58" s="8" t="s">
        <v>229</v>
      </c>
      <c r="C58" s="21" t="n">
        <f aca="false">HMB!$C$29*Inputs!$C$32</f>
        <v>70575.8208955224</v>
      </c>
      <c r="D58" s="8" t="s">
        <v>169</v>
      </c>
    </row>
    <row r="59" customFormat="false" ht="15" hidden="false" customHeight="false" outlineLevel="0" collapsed="false">
      <c r="B59" s="8" t="s">
        <v>230</v>
      </c>
      <c r="C59" s="21" t="n">
        <f aca="false">HMB!$C$38*0.24*(Inputs!$C$30-Inputs!$C$18)</f>
        <v>470505.472636816</v>
      </c>
      <c r="D59" s="8" t="s">
        <v>169</v>
      </c>
    </row>
    <row r="60" customFormat="false" ht="15" hidden="false" customHeight="false" outlineLevel="0" collapsed="false">
      <c r="B60" s="7" t="s">
        <v>231</v>
      </c>
      <c r="C60" s="25" t="n">
        <f aca="false">HMB!$C$55-HMB!$C$56-HMB!$C$57-HMB!$C$58-HMB!$C$59</f>
        <v>0</v>
      </c>
      <c r="D60" s="8" t="s">
        <v>169</v>
      </c>
      <c r="E60" s="10" t="s">
        <v>232</v>
      </c>
    </row>
    <row r="61" customFormat="false" ht="15" hidden="false" customHeight="false" outlineLevel="0" collapsed="false">
      <c r="B61" s="8" t="s">
        <v>233</v>
      </c>
      <c r="C61" s="30" t="n">
        <f aca="false">HMB!$C$60/HMB!$C$55</f>
        <v>0</v>
      </c>
      <c r="D61" s="8"/>
    </row>
    <row r="62" customFormat="false" ht="15" hidden="false" customHeight="false" outlineLevel="0" collapsed="false">
      <c r="B62" s="5" t="s">
        <v>234</v>
      </c>
      <c r="C62" s="6"/>
      <c r="D62" s="6"/>
      <c r="E62" s="6"/>
    </row>
    <row r="63" customFormat="false" ht="15" hidden="false" customHeight="false" outlineLevel="0" collapsed="false">
      <c r="B63" s="8" t="s">
        <v>235</v>
      </c>
      <c r="C63" s="24" t="str">
        <f aca="false">Equipment!$C$4</f>
        <v>XD-60 Mk.2</v>
      </c>
      <c r="D63" s="8"/>
    </row>
    <row r="64" customFormat="false" ht="15" hidden="false" customHeight="false" outlineLevel="0" collapsed="false">
      <c r="B64" s="8" t="s">
        <v>236</v>
      </c>
      <c r="C64" s="24" t="n">
        <f aca="false">Equipment!$C$7</f>
        <v>589.048622548086</v>
      </c>
      <c r="D64" s="8" t="s">
        <v>237</v>
      </c>
    </row>
    <row r="65" customFormat="false" ht="15" hidden="false" customHeight="false" outlineLevel="0" collapsed="false">
      <c r="B65" s="7" t="s">
        <v>238</v>
      </c>
      <c r="C65" s="31" t="n">
        <f aca="false">IF(HMB!$C$64&gt;0,HMB!$C$9/HMB!$C$64,"n/a")</f>
        <v>2.26353696841807</v>
      </c>
      <c r="D65" s="8" t="s">
        <v>239</v>
      </c>
      <c r="E65" s="10" t="s">
        <v>240</v>
      </c>
    </row>
    <row r="66" customFormat="false" ht="15" hidden="false" customHeight="false" outlineLevel="0" collapsed="false">
      <c r="B66" s="8" t="s">
        <v>241</v>
      </c>
      <c r="C66" s="26" t="n">
        <f aca="false">Inputs!$C$7/60*Inputs!$C$15/Inputs!$C$14</f>
        <v>62.5</v>
      </c>
      <c r="D66" s="8" t="s">
        <v>237</v>
      </c>
    </row>
    <row r="67" customFormat="false" ht="15" hidden="false" customHeight="false" outlineLevel="0" collapsed="false">
      <c r="B67" s="8" t="s">
        <v>242</v>
      </c>
      <c r="C67" s="30" t="n">
        <f aca="false">IF(HMB!$C$64&gt;0,HMB!$C$66/HMB!$C$64,"n/a")</f>
        <v>0.106103295394597</v>
      </c>
      <c r="D67" s="8" t="s">
        <v>103</v>
      </c>
      <c r="E67" s="10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5" min="4" style="0" width="9"/>
    <col collapsed="false" customWidth="true" hidden="false" outlineLevel="0" max="7" min="6" style="0" width="10"/>
    <col collapsed="false" customWidth="true" hidden="false" outlineLevel="0" max="9" min="8" style="0" width="12"/>
    <col collapsed="false" customWidth="true" hidden="false" outlineLevel="0" max="11" min="10" style="0" width="13"/>
    <col collapsed="false" customWidth="true" hidden="false" outlineLevel="0" max="13" min="12" style="0" width="12"/>
    <col collapsed="false" customWidth="true" hidden="false" outlineLevel="0" max="14" min="14" style="0" width="14"/>
    <col collapsed="false" customWidth="true" hidden="false" outlineLevel="0" max="15" min="15" style="0" width="11"/>
    <col collapsed="false" customWidth="true" hidden="false" outlineLevel="0" max="16" min="16" style="0" width="44"/>
  </cols>
  <sheetData>
    <row r="1" customFormat="false" ht="16.15" hidden="false" customHeight="false" outlineLevel="0" collapsed="false">
      <c r="B1" s="4" t="s">
        <v>244</v>
      </c>
    </row>
    <row r="2" customFormat="false" ht="15" hidden="false" customHeight="false" outlineLevel="0" collapsed="false">
      <c r="B2" s="8" t="s">
        <v>245</v>
      </c>
      <c r="K2" s="32" t="s">
        <v>246</v>
      </c>
      <c r="L2" s="33" t="n">
        <v>6</v>
      </c>
      <c r="M2" s="32" t="s">
        <v>247</v>
      </c>
      <c r="N2" s="33" t="n">
        <v>8</v>
      </c>
      <c r="O2" s="32" t="s">
        <v>248</v>
      </c>
      <c r="P2" s="33" t="n">
        <v>8</v>
      </c>
    </row>
    <row r="3" customFormat="false" ht="15" hidden="false" customHeight="false" outlineLevel="0" collapsed="false">
      <c r="B3" s="10" t="s">
        <v>249</v>
      </c>
    </row>
    <row r="5" customFormat="false" ht="23.85" hidden="false" customHeight="false" outlineLevel="0" collapsed="false">
      <c r="B5" s="15" t="s">
        <v>250</v>
      </c>
      <c r="C5" s="15" t="s">
        <v>251</v>
      </c>
      <c r="D5" s="15" t="s">
        <v>252</v>
      </c>
      <c r="E5" s="15" t="s">
        <v>253</v>
      </c>
      <c r="F5" s="15" t="s">
        <v>254</v>
      </c>
      <c r="G5" s="15" t="s">
        <v>255</v>
      </c>
      <c r="H5" s="15" t="s">
        <v>256</v>
      </c>
      <c r="I5" s="15" t="s">
        <v>257</v>
      </c>
      <c r="J5" s="15" t="s">
        <v>258</v>
      </c>
      <c r="K5" s="15" t="s">
        <v>259</v>
      </c>
      <c r="L5" s="15" t="s">
        <v>260</v>
      </c>
      <c r="M5" s="15" t="s">
        <v>261</v>
      </c>
      <c r="N5" s="15" t="s">
        <v>262</v>
      </c>
      <c r="O5" s="15" t="s">
        <v>263</v>
      </c>
      <c r="P5" s="15" t="s">
        <v>264</v>
      </c>
    </row>
    <row r="6" customFormat="false" ht="15" hidden="false" customHeight="false" outlineLevel="0" collapsed="false">
      <c r="B6" s="8" t="s">
        <v>36</v>
      </c>
      <c r="C6" s="7" t="s">
        <v>265</v>
      </c>
      <c r="D6" s="9" t="n">
        <v>3</v>
      </c>
      <c r="E6" s="9" t="n">
        <v>20</v>
      </c>
      <c r="F6" s="34" t="n">
        <f aca="false">IF(OR(D6="",E6=""),"",PI()/4*D6^2)</f>
        <v>7.06858347057703</v>
      </c>
      <c r="G6" s="35" t="n">
        <f aca="false">IF(OR(D6="",E6=""),"",F6*E6)</f>
        <v>141.371669411541</v>
      </c>
      <c r="H6" s="35" t="n">
        <f aca="false">IF(F6="","",F6*Inputs!$C$36)</f>
        <v>2474.00421470196</v>
      </c>
      <c r="I6" s="16" t="n">
        <v>2.5</v>
      </c>
      <c r="J6" s="35" t="n">
        <f aca="false">IF(I6="","",I6*1000000/Inputs!$C$22)</f>
        <v>1428.57142857143</v>
      </c>
      <c r="K6" s="35" t="n">
        <f aca="false">IF(G6="","",G6*$L$2)</f>
        <v>848.230016469244</v>
      </c>
      <c r="L6" s="35" t="n">
        <f aca="false">IF(K6="","",IF(J6="",K6,MIN(J6,K6)))</f>
        <v>848.230016469244</v>
      </c>
      <c r="M6" s="35" t="n">
        <f aca="false">IF(AND(B6=Inputs!$C$21,H6&lt;&gt;"",L6&lt;&gt;"",H6&gt;=HMB!$C$49*(1+Inputs!$C$43),L6&gt;=HMB!$C$9*(1+Inputs!$C$43)),ROW(),99999)</f>
        <v>99999</v>
      </c>
      <c r="N6" s="36" t="s">
        <v>266</v>
      </c>
      <c r="O6" s="37"/>
      <c r="P6" s="10" t="s">
        <v>267</v>
      </c>
    </row>
    <row r="7" customFormat="false" ht="15" hidden="false" customHeight="false" outlineLevel="0" collapsed="false">
      <c r="B7" s="8" t="s">
        <v>36</v>
      </c>
      <c r="C7" s="7" t="s">
        <v>268</v>
      </c>
      <c r="D7" s="9" t="n">
        <v>5</v>
      </c>
      <c r="E7" s="9" t="n">
        <v>30</v>
      </c>
      <c r="F7" s="34" t="n">
        <f aca="false">IF(OR(D7="",E7=""),"",PI()/4*D7^2)</f>
        <v>19.6349540849362</v>
      </c>
      <c r="G7" s="35" t="n">
        <f aca="false">IF(OR(D7="",E7=""),"",F7*E7)</f>
        <v>589.048622548086</v>
      </c>
      <c r="H7" s="35" t="n">
        <f aca="false">IF(F7="","",F7*Inputs!$C$36)</f>
        <v>6872.23392972767</v>
      </c>
      <c r="I7" s="38"/>
      <c r="J7" s="35" t="str">
        <f aca="false">IF(I7="","",I7*1000000/Inputs!$C$22)</f>
        <v/>
      </c>
      <c r="K7" s="35" t="n">
        <f aca="false">IF(G7="","",G7*$L$2)</f>
        <v>3534.29173528852</v>
      </c>
      <c r="L7" s="35" t="n">
        <f aca="false">IF(K7="","",IF(J7="",K7,MIN(J7,K7)))</f>
        <v>3534.29173528852</v>
      </c>
      <c r="M7" s="35" t="n">
        <f aca="false">IF(AND(B7=Inputs!$C$21,H7&lt;&gt;"",L7&lt;&gt;"",H7&gt;=HMB!$C$49*(1+Inputs!$C$43),L7&gt;=HMB!$C$9*(1+Inputs!$C$43)),ROW(),99999)</f>
        <v>7</v>
      </c>
      <c r="N7" s="36"/>
      <c r="O7" s="37"/>
      <c r="P7" s="10" t="s">
        <v>269</v>
      </c>
    </row>
    <row r="8" customFormat="false" ht="15" hidden="false" customHeight="false" outlineLevel="0" collapsed="false">
      <c r="B8" s="8" t="s">
        <v>36</v>
      </c>
      <c r="C8" s="7" t="s">
        <v>270</v>
      </c>
      <c r="D8" s="9" t="n">
        <v>6</v>
      </c>
      <c r="E8" s="9" t="n">
        <v>30</v>
      </c>
      <c r="F8" s="34" t="n">
        <f aca="false">IF(OR(D8="",E8=""),"",PI()/4*D8^2)</f>
        <v>28.2743338823081</v>
      </c>
      <c r="G8" s="35" t="n">
        <f aca="false">IF(OR(D8="",E8=""),"",F8*E8)</f>
        <v>848.230016469244</v>
      </c>
      <c r="H8" s="35" t="n">
        <f aca="false">IF(F8="","",F8*Inputs!$C$36)</f>
        <v>9896.01685880785</v>
      </c>
      <c r="I8" s="16" t="n">
        <v>4.7</v>
      </c>
      <c r="J8" s="35" t="n">
        <f aca="false">IF(I8="","",I8*1000000/Inputs!$C$22)</f>
        <v>2685.71428571429</v>
      </c>
      <c r="K8" s="35" t="n">
        <f aca="false">IF(G8="","",G8*$L$2)</f>
        <v>5089.38009881546</v>
      </c>
      <c r="L8" s="35" t="n">
        <f aca="false">IF(K8="","",IF(J8="",K8,MIN(J8,K8)))</f>
        <v>2685.71428571429</v>
      </c>
      <c r="M8" s="35" t="n">
        <f aca="false">IF(AND(B8=Inputs!$C$21,H8&lt;&gt;"",L8&lt;&gt;"",H8&gt;=HMB!$C$49*(1+Inputs!$C$43),L8&gt;=HMB!$C$9*(1+Inputs!$C$43)),ROW(),99999)</f>
        <v>8</v>
      </c>
      <c r="N8" s="36"/>
      <c r="O8" s="37"/>
      <c r="P8" s="10" t="s">
        <v>271</v>
      </c>
    </row>
    <row r="9" customFormat="false" ht="15" hidden="false" customHeight="false" outlineLevel="0" collapsed="false">
      <c r="B9" s="8" t="s">
        <v>36</v>
      </c>
      <c r="C9" s="7" t="s">
        <v>272</v>
      </c>
      <c r="D9" s="9" t="n">
        <v>8</v>
      </c>
      <c r="E9" s="9" t="n">
        <v>40</v>
      </c>
      <c r="F9" s="34" t="n">
        <f aca="false">IF(OR(D9="",E9=""),"",PI()/4*D9^2)</f>
        <v>50.2654824574367</v>
      </c>
      <c r="G9" s="35" t="n">
        <f aca="false">IF(OR(D9="",E9=""),"",F9*E9)</f>
        <v>2010.61929829747</v>
      </c>
      <c r="H9" s="35" t="n">
        <f aca="false">IF(F9="","",F9*Inputs!$C$36)</f>
        <v>17592.9188601028</v>
      </c>
      <c r="I9" s="16" t="n">
        <v>30</v>
      </c>
      <c r="J9" s="35" t="n">
        <f aca="false">IF(I9="","",I9*1000000/Inputs!$C$22)</f>
        <v>17142.8571428571</v>
      </c>
      <c r="K9" s="35" t="n">
        <f aca="false">IF(G9="","",G9*$L$2)</f>
        <v>12063.7157897848</v>
      </c>
      <c r="L9" s="35" t="n">
        <f aca="false">IF(K9="","",IF(J9="",K9,MIN(J9,K9)))</f>
        <v>12063.7157897848</v>
      </c>
      <c r="M9" s="35" t="n">
        <f aca="false">IF(AND(B9=Inputs!$C$21,H9&lt;&gt;"",L9&lt;&gt;"",H9&gt;=HMB!$C$49*(1+Inputs!$C$43),L9&gt;=HMB!$C$9*(1+Inputs!$C$43)),ROW(),99999)</f>
        <v>9</v>
      </c>
      <c r="N9" s="36" t="s">
        <v>273</v>
      </c>
      <c r="O9" s="37"/>
      <c r="P9" s="10" t="s">
        <v>274</v>
      </c>
    </row>
    <row r="10" customFormat="false" ht="15" hidden="false" customHeight="false" outlineLevel="0" collapsed="false">
      <c r="B10" s="8" t="s">
        <v>39</v>
      </c>
      <c r="C10" s="7" t="s">
        <v>275</v>
      </c>
      <c r="D10" s="39"/>
      <c r="E10" s="39"/>
      <c r="F10" s="34" t="str">
        <f aca="false">IF(OR(D10="",E10=""),"",PI()/4*D10^2)</f>
        <v/>
      </c>
      <c r="G10" s="35" t="str">
        <f aca="false">IF(OR(D10="",E10=""),"",F10*E10)</f>
        <v/>
      </c>
      <c r="H10" s="40"/>
      <c r="I10" s="38"/>
      <c r="J10" s="35" t="str">
        <f aca="false">IF(I10="","",I10*1000000/Inputs!$C$22)</f>
        <v/>
      </c>
      <c r="K10" s="35" t="str">
        <f aca="false">IF(G10="","",G10*$N$2)</f>
        <v/>
      </c>
      <c r="L10" s="35" t="str">
        <f aca="false">IF(K10="","",IF(J10="",K10,MIN(J10,K10)))</f>
        <v/>
      </c>
      <c r="M10" s="35" t="n">
        <f aca="false">IF(AND(B10=Inputs!$C$21,H10&lt;&gt;"",L10&lt;&gt;"",H10&gt;=HMB!$C$49*(1+Inputs!$C$43),L10&gt;=HMB!$C$9*(1+Inputs!$C$43)),ROW(),99999)</f>
        <v>99999</v>
      </c>
      <c r="N10" s="36"/>
      <c r="O10" s="37"/>
      <c r="P10" s="10" t="s">
        <v>276</v>
      </c>
    </row>
    <row r="11" customFormat="false" ht="15" hidden="false" customHeight="false" outlineLevel="0" collapsed="false">
      <c r="B11" s="8" t="s">
        <v>39</v>
      </c>
      <c r="C11" s="7" t="s">
        <v>277</v>
      </c>
      <c r="D11" s="39"/>
      <c r="E11" s="39"/>
      <c r="F11" s="34" t="str">
        <f aca="false">IF(OR(D11="",E11=""),"",PI()/4*D11^2)</f>
        <v/>
      </c>
      <c r="G11" s="35" t="str">
        <f aca="false">IF(OR(D11="",E11=""),"",F11*E11)</f>
        <v/>
      </c>
      <c r="H11" s="40"/>
      <c r="I11" s="38"/>
      <c r="J11" s="35" t="str">
        <f aca="false">IF(I11="","",I11*1000000/Inputs!$C$22)</f>
        <v/>
      </c>
      <c r="K11" s="35" t="str">
        <f aca="false">IF(G11="","",G11*$N$2)</f>
        <v/>
      </c>
      <c r="L11" s="35" t="str">
        <f aca="false">IF(K11="","",IF(J11="",K11,MIN(J11,K11)))</f>
        <v/>
      </c>
      <c r="M11" s="35" t="n">
        <f aca="false">IF(AND(B11=Inputs!$C$21,H11&lt;&gt;"",L11&lt;&gt;"",H11&gt;=HMB!$C$49*(1+Inputs!$C$43),L11&gt;=HMB!$C$9*(1+Inputs!$C$43)),ROW(),99999)</f>
        <v>99999</v>
      </c>
      <c r="N11" s="36"/>
      <c r="O11" s="37"/>
      <c r="P11" s="10" t="s">
        <v>276</v>
      </c>
    </row>
    <row r="12" customFormat="false" ht="15" hidden="false" customHeight="false" outlineLevel="0" collapsed="false">
      <c r="B12" s="8" t="s">
        <v>39</v>
      </c>
      <c r="C12" s="7" t="s">
        <v>278</v>
      </c>
      <c r="D12" s="39"/>
      <c r="E12" s="39"/>
      <c r="F12" s="34" t="str">
        <f aca="false">IF(OR(D12="",E12=""),"",PI()/4*D12^2)</f>
        <v/>
      </c>
      <c r="G12" s="35" t="str">
        <f aca="false">IF(OR(D12="",E12=""),"",F12*E12)</f>
        <v/>
      </c>
      <c r="H12" s="40"/>
      <c r="I12" s="38"/>
      <c r="J12" s="35" t="str">
        <f aca="false">IF(I12="","",I12*1000000/Inputs!$C$22)</f>
        <v/>
      </c>
      <c r="K12" s="35" t="str">
        <f aca="false">IF(G12="","",G12*$N$2)</f>
        <v/>
      </c>
      <c r="L12" s="35" t="str">
        <f aca="false">IF(K12="","",IF(J12="",K12,MIN(J12,K12)))</f>
        <v/>
      </c>
      <c r="M12" s="35" t="n">
        <f aca="false">IF(AND(B12=Inputs!$C$21,H12&lt;&gt;"",L12&lt;&gt;"",H12&gt;=HMB!$C$49*(1+Inputs!$C$43),L12&gt;=HMB!$C$9*(1+Inputs!$C$43)),ROW(),99999)</f>
        <v>99999</v>
      </c>
      <c r="N12" s="36"/>
      <c r="O12" s="37"/>
      <c r="P12" s="10" t="s">
        <v>276</v>
      </c>
    </row>
    <row r="13" customFormat="false" ht="15" hidden="false" customHeight="false" outlineLevel="0" collapsed="false">
      <c r="B13" s="8" t="s">
        <v>39</v>
      </c>
      <c r="C13" s="7" t="s">
        <v>279</v>
      </c>
      <c r="D13" s="39"/>
      <c r="E13" s="39"/>
      <c r="F13" s="34" t="str">
        <f aca="false">IF(OR(D13="",E13=""),"",PI()/4*D13^2)</f>
        <v/>
      </c>
      <c r="G13" s="35" t="str">
        <f aca="false">IF(OR(D13="",E13=""),"",F13*E13)</f>
        <v/>
      </c>
      <c r="H13" s="40"/>
      <c r="I13" s="38"/>
      <c r="J13" s="35" t="str">
        <f aca="false">IF(I13="","",I13*1000000/Inputs!$C$22)</f>
        <v/>
      </c>
      <c r="K13" s="35" t="str">
        <f aca="false">IF(G13="","",G13*$N$2)</f>
        <v/>
      </c>
      <c r="L13" s="35" t="str">
        <f aca="false">IF(K13="","",IF(J13="",K13,MIN(J13,K13)))</f>
        <v/>
      </c>
      <c r="M13" s="35" t="n">
        <f aca="false">IF(AND(B13=Inputs!$C$21,H13&lt;&gt;"",L13&lt;&gt;"",H13&gt;=HMB!$C$49*(1+Inputs!$C$43),L13&gt;=HMB!$C$9*(1+Inputs!$C$43)),ROW(),99999)</f>
        <v>99999</v>
      </c>
      <c r="N13" s="36"/>
      <c r="O13" s="37"/>
      <c r="P13" s="10" t="s">
        <v>276</v>
      </c>
    </row>
    <row r="14" customFormat="false" ht="15" hidden="false" customHeight="false" outlineLevel="0" collapsed="false">
      <c r="B14" s="8" t="s">
        <v>43</v>
      </c>
      <c r="C14" s="7" t="s">
        <v>280</v>
      </c>
      <c r="D14" s="9" t="n">
        <v>6</v>
      </c>
      <c r="E14" s="9" t="n">
        <v>24</v>
      </c>
      <c r="F14" s="34" t="n">
        <f aca="false">IF(OR(D14="",E14=""),"",PI()/4*D14^2)</f>
        <v>28.2743338823081</v>
      </c>
      <c r="G14" s="35" t="n">
        <f aca="false">IF(OR(D14="",E14=""),"",F14*E14)</f>
        <v>678.584013175395</v>
      </c>
      <c r="H14" s="12" t="n">
        <v>7000</v>
      </c>
      <c r="I14" s="38"/>
      <c r="J14" s="35" t="str">
        <f aca="false">IF(I14="","",I14*1000000/Inputs!$C$22)</f>
        <v/>
      </c>
      <c r="K14" s="35" t="n">
        <f aca="false">IF(G14="","",G14*$P$2)</f>
        <v>5428.67210540316</v>
      </c>
      <c r="L14" s="35" t="n">
        <f aca="false">IF(K14="","",IF(J14="",K14,MIN(J14,K14)))</f>
        <v>5428.67210540316</v>
      </c>
      <c r="M14" s="35" t="n">
        <f aca="false">IF(AND(B14=Inputs!$C$21,H14&lt;&gt;"",L14&lt;&gt;"",H14&gt;=HMB!$C$49*(1+Inputs!$C$43),L14&gt;=HMB!$C$9*(1+Inputs!$C$43)),ROW(),99999)</f>
        <v>99999</v>
      </c>
      <c r="N14" s="36"/>
      <c r="O14" s="37"/>
      <c r="P14" s="10" t="s">
        <v>281</v>
      </c>
    </row>
    <row r="15" customFormat="false" ht="15" hidden="false" customHeight="false" outlineLevel="0" collapsed="false">
      <c r="B15" s="8" t="s">
        <v>43</v>
      </c>
      <c r="C15" s="7" t="s">
        <v>282</v>
      </c>
      <c r="D15" s="9" t="n">
        <v>8</v>
      </c>
      <c r="E15" s="9" t="n">
        <v>35</v>
      </c>
      <c r="F15" s="34" t="n">
        <f aca="false">IF(OR(D15="",E15=""),"",PI()/4*D15^2)</f>
        <v>50.2654824574367</v>
      </c>
      <c r="G15" s="35" t="n">
        <f aca="false">IF(OR(D15="",E15=""),"",F15*E15)</f>
        <v>1759.29188601028</v>
      </c>
      <c r="H15" s="12" t="n">
        <v>18000</v>
      </c>
      <c r="I15" s="38"/>
      <c r="J15" s="35" t="str">
        <f aca="false">IF(I15="","",I15*1000000/Inputs!$C$22)</f>
        <v/>
      </c>
      <c r="K15" s="35" t="n">
        <f aca="false">IF(G15="","",G15*$P$2)</f>
        <v>14074.3350880823</v>
      </c>
      <c r="L15" s="35" t="n">
        <f aca="false">IF(K15="","",IF(J15="",K15,MIN(J15,K15)))</f>
        <v>14074.3350880823</v>
      </c>
      <c r="M15" s="35" t="n">
        <f aca="false">IF(AND(B15=Inputs!$C$21,H15&lt;&gt;"",L15&lt;&gt;"",H15&gt;=HMB!$C$49*(1+Inputs!$C$43),L15&gt;=HMB!$C$9*(1+Inputs!$C$43)),ROW(),99999)</f>
        <v>99999</v>
      </c>
      <c r="N15" s="36"/>
      <c r="O15" s="37"/>
      <c r="P15" s="10" t="s">
        <v>281</v>
      </c>
    </row>
    <row r="16" customFormat="false" ht="15" hidden="false" customHeight="false" outlineLevel="0" collapsed="false">
      <c r="B16" s="8" t="s">
        <v>43</v>
      </c>
      <c r="C16" s="7" t="s">
        <v>283</v>
      </c>
      <c r="D16" s="9" t="n">
        <v>10</v>
      </c>
      <c r="E16" s="9" t="n">
        <v>40</v>
      </c>
      <c r="F16" s="34" t="n">
        <f aca="false">IF(OR(D16="",E16=""),"",PI()/4*D16^2)</f>
        <v>78.5398163397448</v>
      </c>
      <c r="G16" s="35" t="n">
        <f aca="false">IF(OR(D16="",E16=""),"",F16*E16)</f>
        <v>3141.59265358979</v>
      </c>
      <c r="H16" s="12" t="n">
        <v>32000</v>
      </c>
      <c r="I16" s="38"/>
      <c r="J16" s="35" t="str">
        <f aca="false">IF(I16="","",I16*1000000/Inputs!$C$22)</f>
        <v/>
      </c>
      <c r="K16" s="35" t="n">
        <f aca="false">IF(G16="","",G16*$P$2)</f>
        <v>25132.7412287183</v>
      </c>
      <c r="L16" s="35" t="n">
        <f aca="false">IF(K16="","",IF(J16="",K16,MIN(J16,K16)))</f>
        <v>25132.7412287183</v>
      </c>
      <c r="M16" s="35" t="n">
        <f aca="false">IF(AND(B16=Inputs!$C$21,H16&lt;&gt;"",L16&lt;&gt;"",H16&gt;=HMB!$C$49*(1+Inputs!$C$43),L16&gt;=HMB!$C$9*(1+Inputs!$C$43)),ROW(),99999)</f>
        <v>99999</v>
      </c>
      <c r="N16" s="36"/>
      <c r="O16" s="37"/>
      <c r="P16" s="10" t="s">
        <v>281</v>
      </c>
    </row>
    <row r="17" customFormat="false" ht="15" hidden="false" customHeight="false" outlineLevel="0" collapsed="false">
      <c r="B17" s="8" t="s">
        <v>43</v>
      </c>
      <c r="C17" s="7" t="s">
        <v>284</v>
      </c>
      <c r="D17" s="9" t="n">
        <v>10</v>
      </c>
      <c r="E17" s="9" t="n">
        <v>50</v>
      </c>
      <c r="F17" s="34" t="n">
        <f aca="false">IF(OR(D17="",E17=""),"",PI()/4*D17^2)</f>
        <v>78.5398163397448</v>
      </c>
      <c r="G17" s="35" t="n">
        <f aca="false">IF(OR(D17="",E17=""),"",F17*E17)</f>
        <v>3926.99081698724</v>
      </c>
      <c r="H17" s="12" t="n">
        <v>40000</v>
      </c>
      <c r="I17" s="38"/>
      <c r="J17" s="35" t="str">
        <f aca="false">IF(I17="","",I17*1000000/Inputs!$C$22)</f>
        <v/>
      </c>
      <c r="K17" s="35" t="n">
        <f aca="false">IF(G17="","",G17*$P$2)</f>
        <v>31415.9265358979</v>
      </c>
      <c r="L17" s="35" t="n">
        <f aca="false">IF(K17="","",IF(J17="",K17,MIN(J17,K17)))</f>
        <v>31415.9265358979</v>
      </c>
      <c r="M17" s="35" t="n">
        <f aca="false">IF(AND(B17=Inputs!$C$21,H17&lt;&gt;"",L17&lt;&gt;"",H17&gt;=HMB!$C$49*(1+Inputs!$C$43),L17&gt;=HMB!$C$9*(1+Inputs!$C$43)),ROW(),99999)</f>
        <v>99999</v>
      </c>
      <c r="N17" s="36"/>
      <c r="O17" s="37"/>
      <c r="P17" s="10" t="s">
        <v>281</v>
      </c>
    </row>
    <row r="18" customFormat="false" ht="15" hidden="false" customHeight="false" outlineLevel="0" collapsed="false">
      <c r="B18" s="8" t="s">
        <v>43</v>
      </c>
      <c r="C18" s="7" t="s">
        <v>285</v>
      </c>
      <c r="D18" s="9" t="n">
        <v>12</v>
      </c>
      <c r="E18" s="9" t="n">
        <v>50</v>
      </c>
      <c r="F18" s="34" t="n">
        <f aca="false">IF(OR(D18="",E18=""),"",PI()/4*D18^2)</f>
        <v>113.097335529233</v>
      </c>
      <c r="G18" s="35" t="n">
        <f aca="false">IF(OR(D18="",E18=""),"",F18*E18)</f>
        <v>5654.86677646163</v>
      </c>
      <c r="H18" s="12" t="n">
        <v>55000</v>
      </c>
      <c r="I18" s="38"/>
      <c r="J18" s="35" t="str">
        <f aca="false">IF(I18="","",I18*1000000/Inputs!$C$22)</f>
        <v/>
      </c>
      <c r="K18" s="35" t="n">
        <f aca="false">IF(G18="","",G18*$P$2)</f>
        <v>45238.934211693</v>
      </c>
      <c r="L18" s="35" t="n">
        <f aca="false">IF(K18="","",IF(J18="",K18,MIN(J18,K18)))</f>
        <v>45238.934211693</v>
      </c>
      <c r="M18" s="35" t="n">
        <f aca="false">IF(AND(B18=Inputs!$C$21,H18&lt;&gt;"",L18&lt;&gt;"",H18&gt;=HMB!$C$49*(1+Inputs!$C$43),L18&gt;=HMB!$C$9*(1+Inputs!$C$43)),ROW(),99999)</f>
        <v>99999</v>
      </c>
      <c r="N18" s="36"/>
      <c r="O18" s="37"/>
      <c r="P18" s="10" t="s">
        <v>281</v>
      </c>
    </row>
    <row r="19" customFormat="false" ht="15" hidden="false" customHeight="false" outlineLevel="0" collapsed="false">
      <c r="B19" s="8" t="s">
        <v>43</v>
      </c>
      <c r="C19" s="7" t="s">
        <v>286</v>
      </c>
      <c r="D19" s="9" t="n">
        <v>12</v>
      </c>
      <c r="E19" s="9" t="n">
        <v>60</v>
      </c>
      <c r="F19" s="34" t="n">
        <f aca="false">IF(OR(D19="",E19=""),"",PI()/4*D19^2)</f>
        <v>113.097335529233</v>
      </c>
      <c r="G19" s="35" t="n">
        <f aca="false">IF(OR(D19="",E19=""),"",F19*E19)</f>
        <v>6785.84013175395</v>
      </c>
      <c r="H19" s="12" t="n">
        <v>65000</v>
      </c>
      <c r="I19" s="38"/>
      <c r="J19" s="35" t="str">
        <f aca="false">IF(I19="","",I19*1000000/Inputs!$C$22)</f>
        <v/>
      </c>
      <c r="K19" s="35" t="n">
        <f aca="false">IF(G19="","",G19*$P$2)</f>
        <v>54286.7210540316</v>
      </c>
      <c r="L19" s="35" t="n">
        <f aca="false">IF(K19="","",IF(J19="",K19,MIN(J19,K19)))</f>
        <v>54286.7210540316</v>
      </c>
      <c r="M19" s="35" t="n">
        <f aca="false">IF(AND(B19=Inputs!$C$21,H19&lt;&gt;"",L19&lt;&gt;"",H19&gt;=HMB!$C$49*(1+Inputs!$C$43),L19&gt;=HMB!$C$9*(1+Inputs!$C$43)),ROW(),99999)</f>
        <v>99999</v>
      </c>
      <c r="N19" s="36"/>
      <c r="O19" s="37"/>
      <c r="P19" s="10" t="s">
        <v>281</v>
      </c>
    </row>
    <row r="20" customFormat="false" ht="15" hidden="false" customHeight="false" outlineLevel="0" collapsed="false">
      <c r="B20" s="8" t="s">
        <v>43</v>
      </c>
      <c r="C20" s="7" t="s">
        <v>287</v>
      </c>
      <c r="D20" s="9" t="n">
        <v>12</v>
      </c>
      <c r="E20" s="9" t="n">
        <v>70</v>
      </c>
      <c r="F20" s="34" t="n">
        <f aca="false">IF(OR(D20="",E20=""),"",PI()/4*D20^2)</f>
        <v>113.097335529233</v>
      </c>
      <c r="G20" s="35" t="n">
        <f aca="false">IF(OR(D20="",E20=""),"",F20*E20)</f>
        <v>7916.81348704628</v>
      </c>
      <c r="H20" s="12" t="n">
        <v>75000</v>
      </c>
      <c r="I20" s="38"/>
      <c r="J20" s="35" t="str">
        <f aca="false">IF(I20="","",I20*1000000/Inputs!$C$22)</f>
        <v/>
      </c>
      <c r="K20" s="35" t="n">
        <f aca="false">IF(G20="","",G20*$P$2)</f>
        <v>63334.5078963702</v>
      </c>
      <c r="L20" s="35" t="n">
        <f aca="false">IF(K20="","",IF(J20="",K20,MIN(J20,K20)))</f>
        <v>63334.5078963702</v>
      </c>
      <c r="M20" s="35" t="n">
        <f aca="false">IF(AND(B20=Inputs!$C$21,H20&lt;&gt;"",L20&lt;&gt;"",H20&gt;=HMB!$C$49*(1+Inputs!$C$43),L20&gt;=HMB!$C$9*(1+Inputs!$C$43)),ROW(),99999)</f>
        <v>99999</v>
      </c>
      <c r="N20" s="36"/>
      <c r="O20" s="37"/>
      <c r="P20" s="10" t="s">
        <v>281</v>
      </c>
    </row>
    <row r="21" customFormat="false" ht="15" hidden="false" customHeight="false" outlineLevel="0" collapsed="false">
      <c r="B21" s="8" t="s">
        <v>43</v>
      </c>
      <c r="C21" s="7" t="s">
        <v>288</v>
      </c>
      <c r="D21" s="9" t="n">
        <v>13</v>
      </c>
      <c r="E21" s="9" t="n">
        <v>60</v>
      </c>
      <c r="F21" s="34" t="n">
        <f aca="false">IF(OR(D21="",E21=""),"",PI()/4*D21^2)</f>
        <v>132.732289614169</v>
      </c>
      <c r="G21" s="35" t="n">
        <f aca="false">IF(OR(D21="",E21=""),"",F21*E21)</f>
        <v>7963.93737685013</v>
      </c>
      <c r="H21" s="12" t="n">
        <v>80000</v>
      </c>
      <c r="I21" s="38"/>
      <c r="J21" s="35" t="str">
        <f aca="false">IF(I21="","",I21*1000000/Inputs!$C$22)</f>
        <v/>
      </c>
      <c r="K21" s="35" t="n">
        <f aca="false">IF(G21="","",G21*$P$2)</f>
        <v>63711.499014801</v>
      </c>
      <c r="L21" s="35" t="n">
        <f aca="false">IF(K21="","",IF(J21="",K21,MIN(J21,K21)))</f>
        <v>63711.499014801</v>
      </c>
      <c r="M21" s="35" t="n">
        <f aca="false">IF(AND(B21=Inputs!$C$21,H21&lt;&gt;"",L21&lt;&gt;"",H21&gt;=HMB!$C$49*(1+Inputs!$C$43),L21&gt;=HMB!$C$9*(1+Inputs!$C$43)),ROW(),99999)</f>
        <v>99999</v>
      </c>
      <c r="N21" s="36"/>
      <c r="O21" s="37"/>
      <c r="P21" s="10" t="s">
        <v>281</v>
      </c>
    </row>
    <row r="22" customFormat="false" ht="15" hidden="false" customHeight="false" outlineLevel="0" collapsed="false">
      <c r="B22" s="8" t="s">
        <v>43</v>
      </c>
      <c r="C22" s="7" t="s">
        <v>289</v>
      </c>
      <c r="D22" s="9" t="n">
        <v>14</v>
      </c>
      <c r="E22" s="9" t="n">
        <v>70</v>
      </c>
      <c r="F22" s="34" t="n">
        <f aca="false">IF(OR(D22="",E22=""),"",PI()/4*D22^2)</f>
        <v>153.9380400259</v>
      </c>
      <c r="G22" s="35" t="n">
        <f aca="false">IF(OR(D22="",E22=""),"",F22*E22)</f>
        <v>10775.662801813</v>
      </c>
      <c r="H22" s="12" t="n">
        <v>90000</v>
      </c>
      <c r="I22" s="38"/>
      <c r="J22" s="35" t="str">
        <f aca="false">IF(I22="","",I22*1000000/Inputs!$C$22)</f>
        <v/>
      </c>
      <c r="K22" s="35" t="n">
        <f aca="false">IF(G22="","",G22*$P$2)</f>
        <v>86205.3024145039</v>
      </c>
      <c r="L22" s="35" t="n">
        <f aca="false">IF(K22="","",IF(J22="",K22,MIN(J22,K22)))</f>
        <v>86205.3024145039</v>
      </c>
      <c r="M22" s="35" t="n">
        <f aca="false">IF(AND(B22=Inputs!$C$21,H22&lt;&gt;"",L22&lt;&gt;"",H22&gt;=HMB!$C$49*(1+Inputs!$C$43),L22&gt;=HMB!$C$9*(1+Inputs!$C$43)),ROW(),99999)</f>
        <v>99999</v>
      </c>
      <c r="N22" s="36"/>
      <c r="O22" s="37"/>
      <c r="P22" s="10" t="s">
        <v>281</v>
      </c>
    </row>
    <row r="23" customFormat="false" ht="15" hidden="false" customHeight="false" outlineLevel="0" collapsed="false">
      <c r="B23" s="8" t="s">
        <v>43</v>
      </c>
      <c r="C23" s="7" t="s">
        <v>290</v>
      </c>
      <c r="D23" s="9" t="n">
        <v>15</v>
      </c>
      <c r="E23" s="9" t="n">
        <v>70</v>
      </c>
      <c r="F23" s="34" t="n">
        <f aca="false">IF(OR(D23="",E23=""),"",PI()/4*D23^2)</f>
        <v>176.714586764426</v>
      </c>
      <c r="G23" s="35" t="n">
        <f aca="false">IF(OR(D23="",E23=""),"",F23*E23)</f>
        <v>12370.0210735098</v>
      </c>
      <c r="H23" s="12" t="n">
        <v>100000</v>
      </c>
      <c r="I23" s="38"/>
      <c r="J23" s="35" t="str">
        <f aca="false">IF(I23="","",I23*1000000/Inputs!$C$22)</f>
        <v/>
      </c>
      <c r="K23" s="35" t="n">
        <f aca="false">IF(G23="","",G23*$P$2)</f>
        <v>98960.1685880785</v>
      </c>
      <c r="L23" s="35" t="n">
        <f aca="false">IF(K23="","",IF(J23="",K23,MIN(J23,K23)))</f>
        <v>98960.1685880785</v>
      </c>
      <c r="M23" s="35" t="n">
        <f aca="false">IF(AND(B23=Inputs!$C$21,H23&lt;&gt;"",L23&lt;&gt;"",H23&gt;=HMB!$C$49*(1+Inputs!$C$43),L23&gt;=HMB!$C$9*(1+Inputs!$C$43)),ROW(),99999)</f>
        <v>99999</v>
      </c>
      <c r="N23" s="36"/>
      <c r="O23" s="37"/>
      <c r="P23" s="10" t="s">
        <v>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62"/>
  </cols>
  <sheetData>
    <row r="1" customFormat="false" ht="16.15" hidden="false" customHeight="false" outlineLevel="0" collapsed="false">
      <c r="B1" s="4" t="s">
        <v>291</v>
      </c>
    </row>
    <row r="3" customFormat="false" ht="15" hidden="false" customHeight="false" outlineLevel="0" collapsed="false">
      <c r="B3" s="5" t="s">
        <v>292</v>
      </c>
      <c r="C3" s="6"/>
      <c r="D3" s="6"/>
      <c r="E3" s="6"/>
    </row>
    <row r="4" customFormat="false" ht="15" hidden="false" customHeight="false" outlineLevel="0" collapsed="false">
      <c r="B4" s="7" t="s">
        <v>293</v>
      </c>
      <c r="C4" s="25" t="str">
        <f aca="false">IFERROR(INDEX('Dryer Models'!$C$6:$C$23,MATCH(MIN('Dryer Models'!$M$6:$M$23),'Dryer Models'!$M$6:$M$23,0)),"NO MODEL OF THIS TYPE MEETS THE JOB - fill ratings or pick another type")</f>
        <v>XD-60 Mk.2</v>
      </c>
      <c r="D4" s="8"/>
    </row>
    <row r="5" customFormat="false" ht="15" hidden="false" customHeight="false" outlineLevel="0" collapsed="false">
      <c r="B5" s="8" t="s">
        <v>294</v>
      </c>
      <c r="C5" s="26" t="n">
        <f aca="false">IFERROR(INDEX('Dryer Models'!$D$6:$D$23,MATCH(MIN('Dryer Models'!$M$6:$M$23),'Dryer Models'!$M$6:$M$23,0)),"")</f>
        <v>5</v>
      </c>
      <c r="D5" s="8" t="s">
        <v>84</v>
      </c>
    </row>
    <row r="6" customFormat="false" ht="15" hidden="false" customHeight="false" outlineLevel="0" collapsed="false">
      <c r="B6" s="8" t="s">
        <v>295</v>
      </c>
      <c r="C6" s="26" t="n">
        <f aca="false">IFERROR(INDEX('Dryer Models'!$E$6:$E$23,MATCH(MIN('Dryer Models'!$M$6:$M$23),'Dryer Models'!$M$6:$M$23,0)),"")</f>
        <v>30</v>
      </c>
      <c r="D6" s="8" t="s">
        <v>84</v>
      </c>
    </row>
    <row r="7" customFormat="false" ht="15" hidden="false" customHeight="false" outlineLevel="0" collapsed="false">
      <c r="B7" s="8" t="s">
        <v>236</v>
      </c>
      <c r="C7" s="21" t="n">
        <f aca="false">IFERROR(INDEX('Dryer Models'!$G$6:$G$23,MATCH(MIN('Dryer Models'!$M$6:$M$23),'Dryer Models'!$M$6:$M$23,0)),0)</f>
        <v>589.048622548086</v>
      </c>
      <c r="D7" s="8" t="s">
        <v>237</v>
      </c>
    </row>
    <row r="8" customFormat="false" ht="15" hidden="false" customHeight="false" outlineLevel="0" collapsed="false">
      <c r="B8" s="8" t="s">
        <v>296</v>
      </c>
      <c r="C8" s="21" t="n">
        <f aca="false">IFERROR(INDEX('Dryer Models'!$H$6:$H$23,MATCH(MIN('Dryer Models'!$M$6:$M$23),'Dryer Models'!$M$6:$M$23,0)),"")</f>
        <v>6872.23392972767</v>
      </c>
      <c r="D8" s="8" t="s">
        <v>216</v>
      </c>
    </row>
    <row r="9" customFormat="false" ht="15" hidden="false" customHeight="false" outlineLevel="0" collapsed="false">
      <c r="B9" s="8" t="s">
        <v>297</v>
      </c>
      <c r="C9" s="21" t="n">
        <f aca="false">IFERROR(INDEX('Dryer Models'!$L$6:$L$23,MATCH(MIN('Dryer Models'!$M$6:$M$23),'Dryer Models'!$M$6:$M$23,0)),"")</f>
        <v>3534.29173528852</v>
      </c>
      <c r="D9" s="8" t="s">
        <v>41</v>
      </c>
    </row>
    <row r="10" customFormat="false" ht="15" hidden="false" customHeight="false" outlineLevel="0" collapsed="false">
      <c r="B10" s="8" t="s">
        <v>298</v>
      </c>
      <c r="C10" s="26" t="str">
        <f aca="false">IFERROR(IF(INDEX('Dryer Models'!$I$6:$I$23,MATCH(MIN('Dryer Models'!$M$6:$M$23),'Dryer Models'!$M$6:$M$23,0))="","not entered",INDEX('Dryer Models'!$I$6:$I$23,MATCH(MIN('Dryer Models'!$M$6:$M$23),'Dryer Models'!$M$6:$M$23,0))),"")</f>
        <v>not entered</v>
      </c>
      <c r="D10" s="8" t="s">
        <v>171</v>
      </c>
    </row>
    <row r="11" customFormat="false" ht="15" hidden="false" customHeight="false" outlineLevel="0" collapsed="false">
      <c r="B11" s="8" t="s">
        <v>299</v>
      </c>
      <c r="C11" s="22" t="n">
        <f aca="false">IF(ISNUMBER(Equipment!$C$8),HMB!$C$49/Equipment!$C$8,"")</f>
        <v>0.830654754946419</v>
      </c>
      <c r="D11" s="8"/>
    </row>
    <row r="12" customFormat="false" ht="15" hidden="false" customHeight="false" outlineLevel="0" collapsed="false">
      <c r="B12" s="8" t="s">
        <v>300</v>
      </c>
      <c r="C12" s="22" t="n">
        <f aca="false">IF(ISNUMBER(Equipment!$C$9),HMB!$C$9/Equipment!$C$9,"")</f>
        <v>0.377256161403011</v>
      </c>
      <c r="D12" s="8"/>
    </row>
    <row r="13" customFormat="false" ht="15" hidden="false" customHeight="false" outlineLevel="0" collapsed="false">
      <c r="B13" s="5" t="s">
        <v>301</v>
      </c>
      <c r="C13" s="6"/>
      <c r="D13" s="6"/>
      <c r="E13" s="6"/>
    </row>
    <row r="14" customFormat="false" ht="15" hidden="false" customHeight="false" outlineLevel="0" collapsed="false">
      <c r="B14" s="8" t="s">
        <v>302</v>
      </c>
      <c r="C14" s="41" t="n">
        <f aca="false">HMB!$C$29/1000000</f>
        <v>2.35252736318408</v>
      </c>
      <c r="D14" s="8" t="s">
        <v>171</v>
      </c>
    </row>
    <row r="15" customFormat="false" ht="15" hidden="false" customHeight="false" outlineLevel="0" collapsed="false">
      <c r="B15" s="7" t="s">
        <v>303</v>
      </c>
      <c r="C15" s="31" t="n">
        <f aca="false">Equipment!$C$14*(1+Inputs!$C$42)</f>
        <v>2.8230328358209</v>
      </c>
      <c r="D15" s="8" t="s">
        <v>171</v>
      </c>
    </row>
    <row r="16" customFormat="false" ht="15" hidden="false" customHeight="false" outlineLevel="0" collapsed="false">
      <c r="B16" s="8" t="s">
        <v>304</v>
      </c>
      <c r="C16" s="21" t="str">
        <f aca="false">IF(AND(ISNUMBER(Equipment!$C$10),Equipment!$C$10&gt;0),IF(Equipment!$C$15&lt;=Equipment!$C$10,"WITHIN MODEL BURNER RATING","EXCEEDS MODEL BURNER RATING - next size or bigger burner"),"model burner rating not entered")</f>
        <v>model burner rating not entered</v>
      </c>
      <c r="D16" s="8"/>
    </row>
    <row r="17" customFormat="false" ht="15" hidden="false" customHeight="false" outlineLevel="0" collapsed="false">
      <c r="B17" s="8" t="s">
        <v>305</v>
      </c>
      <c r="C17" s="21" t="n">
        <f aca="false">Equipment!$C$15*1000000/Inputs!$C$44</f>
        <v>2352.52736318408</v>
      </c>
      <c r="D17" s="8" t="s">
        <v>306</v>
      </c>
      <c r="E17" s="10" t="s">
        <v>307</v>
      </c>
    </row>
    <row r="18" customFormat="false" ht="15" hidden="false" customHeight="false" outlineLevel="0" collapsed="false">
      <c r="B18" s="8" t="s">
        <v>308</v>
      </c>
      <c r="C18" s="26" t="n">
        <f aca="false">Equipment!$C$17/576</f>
        <v>4.08424889441681</v>
      </c>
      <c r="D18" s="8" t="s">
        <v>309</v>
      </c>
    </row>
    <row r="19" customFormat="false" ht="15" hidden="false" customHeight="false" outlineLevel="0" collapsed="false">
      <c r="B19" s="8" t="s">
        <v>310</v>
      </c>
      <c r="C19" s="26" t="n">
        <f aca="false">Equipment!$C$17/135</f>
        <v>17.4261286161784</v>
      </c>
      <c r="D19" s="8" t="s">
        <v>309</v>
      </c>
    </row>
    <row r="20" customFormat="false" ht="15" hidden="false" customHeight="false" outlineLevel="0" collapsed="false">
      <c r="B20" s="8" t="s">
        <v>311</v>
      </c>
      <c r="C20" s="21" t="n">
        <f aca="false">ROUNDUP(Equipment!$C$15*100,-1)</f>
        <v>290</v>
      </c>
      <c r="D20" s="8"/>
      <c r="E20" s="10" t="s">
        <v>312</v>
      </c>
    </row>
    <row r="21" customFormat="false" ht="15" hidden="false" customHeight="false" outlineLevel="0" collapsed="false">
      <c r="B21" s="5" t="s">
        <v>313</v>
      </c>
      <c r="C21" s="6"/>
      <c r="D21" s="6"/>
      <c r="E21" s="6"/>
    </row>
    <row r="22" customFormat="false" ht="15" hidden="false" customHeight="false" outlineLevel="0" collapsed="false">
      <c r="B22" s="8" t="s">
        <v>314</v>
      </c>
      <c r="C22" s="24" t="n">
        <f aca="false">HMB!$C$49</f>
        <v>5708.45379083241</v>
      </c>
      <c r="D22" s="8" t="s">
        <v>216</v>
      </c>
    </row>
    <row r="23" customFormat="false" ht="15" hidden="false" customHeight="false" outlineLevel="0" collapsed="false">
      <c r="B23" s="8" t="s">
        <v>315</v>
      </c>
      <c r="C23" s="24" t="n">
        <f aca="false">Inputs!$C$30</f>
        <v>180</v>
      </c>
      <c r="D23" s="8" t="s">
        <v>52</v>
      </c>
    </row>
    <row r="24" customFormat="false" ht="15" hidden="false" customHeight="false" outlineLevel="0" collapsed="false">
      <c r="B24" s="8" t="s">
        <v>316</v>
      </c>
      <c r="C24" s="26" t="n">
        <f aca="false">Equipment!$C$22*Inputs!$C$37/(6356*Inputs!$C$38)</f>
        <v>13.8172382021407</v>
      </c>
      <c r="D24" s="8" t="s">
        <v>317</v>
      </c>
      <c r="E24" s="10" t="s">
        <v>318</v>
      </c>
    </row>
    <row r="25" customFormat="false" ht="15" hidden="false" customHeight="false" outlineLevel="0" collapsed="false">
      <c r="B25" s="7" t="s">
        <v>319</v>
      </c>
      <c r="C25" s="25" t="n">
        <f aca="false">INDEX(Tables!$B$4:$B$21,COUNTIF(Tables!$B$4:$B$21,"&lt;"&amp;Equipment!$C$24*1.15)+1)</f>
        <v>20</v>
      </c>
      <c r="D25" s="8" t="s">
        <v>320</v>
      </c>
      <c r="E25" s="10" t="s">
        <v>321</v>
      </c>
    </row>
    <row r="26" customFormat="false" ht="15" hidden="false" customHeight="false" outlineLevel="0" collapsed="false">
      <c r="B26" s="8" t="s">
        <v>322</v>
      </c>
      <c r="C26" s="26" t="n">
        <f aca="false">SQRT(Equipment!$C$22/Inputs!$C$39*4/PI())*12</f>
        <v>14.4680682278768</v>
      </c>
      <c r="D26" s="8" t="s">
        <v>323</v>
      </c>
    </row>
    <row r="27" customFormat="false" ht="15" hidden="false" customHeight="false" outlineLevel="0" collapsed="false">
      <c r="B27" s="7" t="s">
        <v>324</v>
      </c>
      <c r="C27" s="25" t="n">
        <f aca="false">CEILING(Equipment!$C$26,2)</f>
        <v>16</v>
      </c>
      <c r="D27" s="8" t="s">
        <v>323</v>
      </c>
    </row>
    <row r="28" customFormat="false" ht="15" hidden="false" customHeight="false" outlineLevel="0" collapsed="false">
      <c r="B28" s="8" t="s">
        <v>325</v>
      </c>
      <c r="C28" s="21" t="n">
        <f aca="false">Equipment!$C$22/(PI()/4*(Equipment!$C$27/12)^2)</f>
        <v>4088.37887200191</v>
      </c>
      <c r="D28" s="8" t="s">
        <v>127</v>
      </c>
    </row>
    <row r="29" customFormat="false" ht="15" hidden="false" customHeight="false" outlineLevel="0" collapsed="false">
      <c r="B29" s="8" t="s">
        <v>326</v>
      </c>
      <c r="C29" s="21" t="n">
        <f aca="false">CEILING(SQRT(HMB!$C$51/Inputs!$C$39*4/PI())*12,2)</f>
        <v>18</v>
      </c>
      <c r="D29" s="8" t="s">
        <v>323</v>
      </c>
    </row>
    <row r="30" customFormat="false" ht="15" hidden="false" customHeight="false" outlineLevel="0" collapsed="false">
      <c r="B30" s="8" t="s">
        <v>327</v>
      </c>
      <c r="C30" s="21" t="n">
        <f aca="false">Equipment!$C$22/Inputs!$C$40*144</f>
        <v>249.096165418141</v>
      </c>
      <c r="D30" s="8" t="s">
        <v>306</v>
      </c>
      <c r="E30" s="10" t="s">
        <v>328</v>
      </c>
    </row>
    <row r="31" customFormat="false" ht="15" hidden="false" customHeight="false" outlineLevel="0" collapsed="false">
      <c r="B31" s="8" t="s">
        <v>329</v>
      </c>
      <c r="C31" s="21" t="n">
        <f aca="false">SQRT(Equipment!$C$22/Inputs!$C$40/0.125)*12</f>
        <v>44.6404449277237</v>
      </c>
      <c r="D31" s="8" t="s">
        <v>323</v>
      </c>
      <c r="E31" s="10" t="s">
        <v>330</v>
      </c>
    </row>
    <row r="32" customFormat="false" ht="15" hidden="false" customHeight="false" outlineLevel="0" collapsed="false">
      <c r="B32" s="5" t="s">
        <v>331</v>
      </c>
      <c r="C32" s="6"/>
      <c r="D32" s="6"/>
      <c r="E32" s="6"/>
    </row>
    <row r="33" customFormat="false" ht="15" hidden="false" customHeight="false" outlineLevel="0" collapsed="false">
      <c r="B33" s="8" t="s">
        <v>332</v>
      </c>
      <c r="C33" s="23" t="n">
        <f aca="false">HMB!$C$7/Inputs!$C$13/60</f>
        <v>3.47222222222222</v>
      </c>
      <c r="D33" s="8" t="s">
        <v>192</v>
      </c>
    </row>
    <row r="34" customFormat="false" ht="15" hidden="false" customHeight="false" outlineLevel="0" collapsed="false">
      <c r="B34" s="8" t="s">
        <v>333</v>
      </c>
      <c r="C34" s="23" t="n">
        <f aca="false">Inputs!$C$7/Inputs!$C$14/60</f>
        <v>4.16666666666667</v>
      </c>
      <c r="D34" s="8" t="s">
        <v>192</v>
      </c>
    </row>
    <row r="35" customFormat="false" ht="15" hidden="false" customHeight="false" outlineLevel="0" collapsed="false">
      <c r="B35" s="7" t="s">
        <v>334</v>
      </c>
      <c r="C35" s="25" t="n">
        <f aca="false">IFERROR(INDEX(Tables!$E$4:$E$13,COUNTIF(Tables!$H$4:$H$13,"&lt;"&amp;Equipment!$C$33)+1),"none in table")</f>
        <v>1212</v>
      </c>
      <c r="D35" s="8"/>
    </row>
    <row r="36" customFormat="false" ht="15" hidden="false" customHeight="false" outlineLevel="0" collapsed="false">
      <c r="B36" s="7" t="s">
        <v>335</v>
      </c>
      <c r="C36" s="25" t="n">
        <f aca="false">IFERROR(INDEX(Tables!$E$4:$E$13,COUNTIF(Tables!$H$4:$H$13,"&lt;"&amp;Equipment!$C$34)+1),"none in table")</f>
        <v>1212</v>
      </c>
      <c r="D36" s="8"/>
    </row>
    <row r="37" customFormat="false" ht="15" hidden="false" customHeight="false" outlineLevel="0" collapsed="false">
      <c r="B37" s="8" t="s">
        <v>336</v>
      </c>
      <c r="C37" s="21" t="n">
        <f aca="false">IFERROR(INDEX(Tables!$J$4:$J$13,COUNTIF(Tables!$M$4:$M$13,"&lt;"&amp;Equipment!$C$34*60)+1),"none in table")</f>
        <v>9</v>
      </c>
      <c r="D37" s="8" t="s">
        <v>323</v>
      </c>
    </row>
    <row r="38" customFormat="false" ht="15" hidden="false" customHeight="false" outlineLevel="0" collapsed="false">
      <c r="B38" s="5" t="s">
        <v>337</v>
      </c>
      <c r="C38" s="6"/>
      <c r="D38" s="6"/>
      <c r="E38" s="6"/>
    </row>
    <row r="39" customFormat="false" ht="15" hidden="false" customHeight="false" outlineLevel="0" collapsed="false">
      <c r="B39" s="8" t="s">
        <v>338</v>
      </c>
      <c r="C39" s="24" t="n">
        <f aca="false">Inputs!$C$48</f>
        <v>7488</v>
      </c>
      <c r="D39" s="8" t="s">
        <v>151</v>
      </c>
    </row>
    <row r="40" customFormat="false" ht="15" hidden="false" customHeight="false" outlineLevel="0" collapsed="false">
      <c r="B40" s="8" t="s">
        <v>157</v>
      </c>
      <c r="C40" s="21" t="n">
        <f aca="false">HMB!$C$7*Equipment!$C$39/2000</f>
        <v>6240</v>
      </c>
      <c r="D40" s="8" t="s">
        <v>339</v>
      </c>
    </row>
    <row r="41" customFormat="false" ht="15" hidden="false" customHeight="false" outlineLevel="0" collapsed="false">
      <c r="B41" s="8" t="s">
        <v>340</v>
      </c>
      <c r="C41" s="21" t="n">
        <f aca="false">HMB!$C$9*Equipment!$C$39/2000</f>
        <v>4992</v>
      </c>
      <c r="D41" s="8" t="s">
        <v>339</v>
      </c>
    </row>
    <row r="42" customFormat="false" ht="15" hidden="false" customHeight="false" outlineLevel="0" collapsed="false">
      <c r="B42" s="8" t="s">
        <v>60</v>
      </c>
      <c r="C42" s="21" t="n">
        <f aca="false">HMB!$C$31*Equipment!$C$39/2000</f>
        <v>386.309756480754</v>
      </c>
      <c r="D42" s="8" t="s">
        <v>339</v>
      </c>
    </row>
    <row r="43" customFormat="false" ht="15" hidden="false" customHeight="false" outlineLevel="0" collapsed="false">
      <c r="B43" s="8" t="s">
        <v>341</v>
      </c>
      <c r="C43" s="21" t="n">
        <f aca="false">HMB!$C$29*Equipment!$C$39/1000000</f>
        <v>17615.7248955224</v>
      </c>
      <c r="D43" s="8" t="s">
        <v>342</v>
      </c>
    </row>
    <row r="44" customFormat="false" ht="15" hidden="false" customHeight="false" outlineLevel="0" collapsed="false">
      <c r="B44" s="8" t="s">
        <v>122</v>
      </c>
      <c r="C44" s="42" t="n">
        <f aca="false">Equipment!$C$43*Inputs!$C$34</f>
        <v>140925.799164179</v>
      </c>
      <c r="D44" s="8" t="s">
        <v>343</v>
      </c>
    </row>
    <row r="45" customFormat="false" ht="15" hidden="false" customHeight="false" outlineLevel="0" collapsed="false">
      <c r="B45" s="7" t="s">
        <v>344</v>
      </c>
      <c r="C45" s="43" t="n">
        <f aca="false">IF(Equipment!$C$40&gt;0,Equipment!$C$44/Equipment!$C$40,0)</f>
        <v>22.5842626865672</v>
      </c>
      <c r="D45" s="8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6" min="5" style="0" width="10"/>
    <col collapsed="false" customWidth="true" hidden="false" outlineLevel="0" max="7" min="7" style="0" width="8"/>
    <col collapsed="false" customWidth="true" hidden="false" outlineLevel="0" max="8" min="8" style="0" width="12"/>
    <col collapsed="false" customWidth="true" hidden="false" outlineLevel="0" max="9" min="9" style="0" width="3"/>
    <col collapsed="false" customWidth="true" hidden="false" outlineLevel="0" max="11" min="10" style="0" width="12"/>
    <col collapsed="false" customWidth="true" hidden="false" outlineLevel="0" max="12" min="12" style="0" width="8"/>
    <col collapsed="false" customWidth="true" hidden="false" outlineLevel="0" max="14" min="13" style="0" width="12"/>
  </cols>
  <sheetData>
    <row r="1" customFormat="false" ht="16.15" hidden="false" customHeight="false" outlineLevel="0" collapsed="false">
      <c r="B1" s="4" t="s">
        <v>346</v>
      </c>
    </row>
    <row r="3" customFormat="false" ht="23.85" hidden="false" customHeight="false" outlineLevel="0" collapsed="false">
      <c r="B3" s="7" t="s">
        <v>347</v>
      </c>
      <c r="E3" s="15" t="s">
        <v>348</v>
      </c>
      <c r="F3" s="15" t="s">
        <v>349</v>
      </c>
      <c r="G3" s="15" t="s">
        <v>350</v>
      </c>
      <c r="H3" s="15" t="s">
        <v>351</v>
      </c>
      <c r="I3" s="15" t="s">
        <v>352</v>
      </c>
      <c r="J3" s="15" t="s">
        <v>353</v>
      </c>
      <c r="K3" s="15" t="s">
        <v>354</v>
      </c>
      <c r="L3" s="15" t="s">
        <v>350</v>
      </c>
      <c r="M3" s="15" t="s">
        <v>355</v>
      </c>
    </row>
    <row r="4" customFormat="false" ht="15" hidden="false" customHeight="false" outlineLevel="0" collapsed="false">
      <c r="B4" s="36" t="n">
        <v>5</v>
      </c>
      <c r="E4" s="36" t="n">
        <v>1212</v>
      </c>
      <c r="F4" s="36" t="n">
        <v>0.68</v>
      </c>
      <c r="G4" s="36" t="n">
        <v>25</v>
      </c>
      <c r="H4" s="44" t="n">
        <f aca="false">F4*G4*0.3</f>
        <v>5.1</v>
      </c>
      <c r="J4" s="36" t="n">
        <v>4</v>
      </c>
      <c r="K4" s="36" t="n">
        <v>1.35</v>
      </c>
      <c r="L4" s="36" t="n">
        <v>70</v>
      </c>
      <c r="M4" s="45" t="n">
        <f aca="false">K4*L4*0.3</f>
        <v>28.35</v>
      </c>
    </row>
    <row r="5" customFormat="false" ht="15" hidden="false" customHeight="false" outlineLevel="0" collapsed="false">
      <c r="B5" s="36" t="n">
        <v>7.5</v>
      </c>
      <c r="E5" s="36" t="n">
        <v>1616</v>
      </c>
      <c r="F5" s="36" t="n">
        <v>1.69</v>
      </c>
      <c r="G5" s="36" t="n">
        <v>43</v>
      </c>
      <c r="H5" s="44" t="n">
        <f aca="false">F5*G5*0.3</f>
        <v>21.801</v>
      </c>
      <c r="J5" s="36" t="n">
        <v>6</v>
      </c>
      <c r="K5" s="36" t="n">
        <v>4.91</v>
      </c>
      <c r="L5" s="36" t="n">
        <v>60</v>
      </c>
      <c r="M5" s="45" t="n">
        <f aca="false">K5*L5*0.3</f>
        <v>88.38</v>
      </c>
    </row>
    <row r="6" customFormat="false" ht="15" hidden="false" customHeight="false" outlineLevel="0" collapsed="false">
      <c r="B6" s="36" t="n">
        <v>10</v>
      </c>
      <c r="E6" s="36" t="n">
        <v>2020</v>
      </c>
      <c r="F6" s="36" t="n">
        <v>3.2</v>
      </c>
      <c r="G6" s="36" t="n">
        <v>25</v>
      </c>
      <c r="H6" s="44" t="n">
        <f aca="false">F6*G6*0.3</f>
        <v>24</v>
      </c>
      <c r="J6" s="36" t="n">
        <v>9</v>
      </c>
      <c r="K6" s="36" t="n">
        <v>17.98</v>
      </c>
      <c r="L6" s="36" t="n">
        <v>55</v>
      </c>
      <c r="M6" s="45" t="n">
        <f aca="false">K6*L6*0.3</f>
        <v>296.67</v>
      </c>
    </row>
    <row r="7" customFormat="false" ht="15" hidden="false" customHeight="false" outlineLevel="0" collapsed="false">
      <c r="B7" s="36" t="n">
        <v>15</v>
      </c>
      <c r="E7" s="36" t="n">
        <v>2040</v>
      </c>
      <c r="F7" s="36" t="n">
        <v>6.4</v>
      </c>
      <c r="G7" s="36" t="n">
        <v>20</v>
      </c>
      <c r="H7" s="44" t="n">
        <f aca="false">F7*G7*0.3</f>
        <v>38.4</v>
      </c>
      <c r="J7" s="36" t="n">
        <v>12</v>
      </c>
      <c r="K7" s="36" t="n">
        <v>42.5</v>
      </c>
      <c r="L7" s="36" t="n">
        <v>50</v>
      </c>
      <c r="M7" s="45" t="n">
        <f aca="false">K7*L7*0.3</f>
        <v>637.5</v>
      </c>
    </row>
    <row r="8" customFormat="false" ht="15" hidden="false" customHeight="false" outlineLevel="0" collapsed="false">
      <c r="B8" s="36" t="n">
        <v>20</v>
      </c>
      <c r="E8" s="36" t="n">
        <v>2424</v>
      </c>
      <c r="F8" s="36" t="n">
        <v>5.94</v>
      </c>
      <c r="G8" s="36" t="n">
        <v>25</v>
      </c>
      <c r="H8" s="44" t="n">
        <f aca="false">F8*G8*0.3</f>
        <v>44.55</v>
      </c>
      <c r="J8" s="36" t="n">
        <v>14</v>
      </c>
      <c r="K8" s="36" t="n">
        <v>68.64</v>
      </c>
      <c r="L8" s="36" t="n">
        <v>50</v>
      </c>
      <c r="M8" s="45" t="n">
        <f aca="false">K8*L8*0.3</f>
        <v>1029.6</v>
      </c>
    </row>
    <row r="9" customFormat="false" ht="15" hidden="false" customHeight="false" outlineLevel="0" collapsed="false">
      <c r="B9" s="36" t="n">
        <v>25</v>
      </c>
      <c r="E9" s="36" t="n">
        <v>3030</v>
      </c>
      <c r="F9" s="36" t="n">
        <v>11.2</v>
      </c>
      <c r="G9" s="36" t="n">
        <v>35</v>
      </c>
      <c r="H9" s="44" t="n">
        <f aca="false">F9*G9*0.3</f>
        <v>117.6</v>
      </c>
      <c r="J9" s="36" t="n">
        <v>16</v>
      </c>
      <c r="K9" s="36" t="n">
        <v>102.96</v>
      </c>
      <c r="L9" s="36" t="n">
        <v>35</v>
      </c>
      <c r="M9" s="45" t="n">
        <f aca="false">K9*L9*0.3</f>
        <v>1081.08</v>
      </c>
    </row>
    <row r="10" customFormat="false" ht="15" hidden="false" customHeight="false" outlineLevel="0" collapsed="false">
      <c r="B10" s="36" t="n">
        <v>30</v>
      </c>
      <c r="E10" s="36" t="n">
        <v>3636</v>
      </c>
      <c r="F10" s="36" t="n">
        <v>19.9</v>
      </c>
      <c r="G10" s="36" t="n">
        <v>32</v>
      </c>
      <c r="H10" s="44" t="n">
        <f aca="false">F10*G10*0.3</f>
        <v>191.04</v>
      </c>
      <c r="J10" s="36" t="n">
        <v>18</v>
      </c>
      <c r="K10" s="36" t="n">
        <v>148.8</v>
      </c>
      <c r="L10" s="36" t="n">
        <v>45</v>
      </c>
      <c r="M10" s="45" t="n">
        <f aca="false">K10*L10*0.3</f>
        <v>2008.8</v>
      </c>
    </row>
    <row r="11" customFormat="false" ht="15" hidden="false" customHeight="false" outlineLevel="0" collapsed="false">
      <c r="B11" s="36" t="n">
        <v>40</v>
      </c>
      <c r="E11" s="36" t="n">
        <v>4242</v>
      </c>
      <c r="F11" s="36" t="n">
        <v>32.1</v>
      </c>
      <c r="G11" s="36" t="n">
        <v>30</v>
      </c>
      <c r="H11" s="44" t="n">
        <f aca="false">F11*G11*0.3</f>
        <v>288.9</v>
      </c>
      <c r="J11" s="36" t="n">
        <v>20</v>
      </c>
      <c r="K11" s="36" t="n">
        <v>207.24</v>
      </c>
      <c r="L11" s="36" t="n">
        <v>40</v>
      </c>
      <c r="M11" s="45" t="n">
        <f aca="false">K11*L11*0.3</f>
        <v>2486.88</v>
      </c>
    </row>
    <row r="12" customFormat="false" ht="15" hidden="false" customHeight="false" outlineLevel="0" collapsed="false">
      <c r="B12" s="36" t="n">
        <v>50</v>
      </c>
      <c r="E12" s="36" t="n">
        <v>4848</v>
      </c>
      <c r="F12" s="36" t="n">
        <v>48</v>
      </c>
      <c r="G12" s="36" t="n">
        <v>24</v>
      </c>
      <c r="H12" s="44" t="n">
        <f aca="false">F12*G12*0.3</f>
        <v>345.6</v>
      </c>
      <c r="J12" s="36" t="n">
        <v>24</v>
      </c>
      <c r="K12" s="36" t="n">
        <v>359.7</v>
      </c>
      <c r="L12" s="36" t="n">
        <v>40</v>
      </c>
      <c r="M12" s="45" t="n">
        <f aca="false">K12*L12*0.3</f>
        <v>4316.4</v>
      </c>
    </row>
    <row r="13" customFormat="false" ht="15" hidden="false" customHeight="false" outlineLevel="0" collapsed="false">
      <c r="B13" s="36" t="n">
        <v>60</v>
      </c>
      <c r="E13" s="36" t="n">
        <v>6060</v>
      </c>
      <c r="F13" s="36" t="n">
        <v>93</v>
      </c>
      <c r="G13" s="36" t="n">
        <v>20</v>
      </c>
      <c r="H13" s="44" t="n">
        <f aca="false">F13*G13*0.3</f>
        <v>558</v>
      </c>
      <c r="J13" s="36" t="n">
        <v>30</v>
      </c>
      <c r="K13" s="36" t="n">
        <v>712.8</v>
      </c>
      <c r="L13" s="36" t="n">
        <v>35</v>
      </c>
      <c r="M13" s="45" t="n">
        <f aca="false">K13*L13*0.3</f>
        <v>7484.4</v>
      </c>
    </row>
    <row r="14" customFormat="false" ht="15" hidden="false" customHeight="false" outlineLevel="0" collapsed="false">
      <c r="B14" s="36" t="n">
        <v>75</v>
      </c>
      <c r="E14" s="10" t="s">
        <v>356</v>
      </c>
      <c r="J14" s="10" t="s">
        <v>357</v>
      </c>
    </row>
    <row r="15" customFormat="false" ht="15" hidden="false" customHeight="false" outlineLevel="0" collapsed="false">
      <c r="B15" s="36" t="n">
        <v>100</v>
      </c>
    </row>
    <row r="16" customFormat="false" ht="15" hidden="false" customHeight="false" outlineLevel="0" collapsed="false">
      <c r="B16" s="36" t="n">
        <v>125</v>
      </c>
    </row>
    <row r="17" customFormat="false" ht="15" hidden="false" customHeight="false" outlineLevel="0" collapsed="false">
      <c r="B17" s="36" t="n">
        <v>150</v>
      </c>
    </row>
    <row r="18" customFormat="false" ht="15" hidden="false" customHeight="false" outlineLevel="0" collapsed="false">
      <c r="B18" s="36" t="n">
        <v>200</v>
      </c>
    </row>
    <row r="19" customFormat="false" ht="15" hidden="false" customHeight="false" outlineLevel="0" collapsed="false">
      <c r="B19" s="36" t="n">
        <v>250</v>
      </c>
    </row>
    <row r="20" customFormat="false" ht="15" hidden="false" customHeight="false" outlineLevel="0" collapsed="false">
      <c r="B20" s="36" t="n">
        <v>300</v>
      </c>
    </row>
    <row r="21" customFormat="false" ht="15" hidden="false" customHeight="false" outlineLevel="0" collapsed="false">
      <c r="B21" s="36" t="n">
        <v>350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7" min="6" style="0" width="12"/>
    <col collapsed="false" customWidth="true" hidden="false" outlineLevel="0" max="8" min="8" style="0" width="60"/>
  </cols>
  <sheetData>
    <row r="1" customFormat="false" ht="16.15" hidden="false" customHeight="false" outlineLevel="0" collapsed="false">
      <c r="B1" s="4" t="s">
        <v>358</v>
      </c>
    </row>
    <row r="3" customFormat="false" ht="15" hidden="false" customHeight="false" outlineLevel="0" collapsed="false">
      <c r="B3" s="5" t="s">
        <v>359</v>
      </c>
      <c r="C3" s="6"/>
      <c r="D3" s="6"/>
      <c r="E3" s="6"/>
      <c r="F3" s="6"/>
      <c r="G3" s="6"/>
      <c r="H3" s="6"/>
    </row>
    <row r="4" customFormat="false" ht="15" hidden="false" customHeight="false" outlineLevel="0" collapsed="false">
      <c r="B4" s="8" t="s">
        <v>360</v>
      </c>
      <c r="C4" s="14" t="n">
        <v>0.1</v>
      </c>
      <c r="D4" s="8" t="s">
        <v>361</v>
      </c>
      <c r="H4" s="10" t="s">
        <v>362</v>
      </c>
    </row>
    <row r="5" customFormat="false" ht="15" hidden="false" customHeight="false" outlineLevel="0" collapsed="false">
      <c r="B5" s="8" t="s">
        <v>363</v>
      </c>
      <c r="C5" s="14" t="n">
        <v>0.08</v>
      </c>
      <c r="D5" s="8" t="s">
        <v>361</v>
      </c>
      <c r="H5" s="10" t="s">
        <v>364</v>
      </c>
    </row>
    <row r="6" customFormat="false" ht="15" hidden="false" customHeight="false" outlineLevel="0" collapsed="false">
      <c r="B6" s="8" t="s">
        <v>365</v>
      </c>
      <c r="C6" s="46" t="n">
        <v>0.0006</v>
      </c>
      <c r="D6" s="8" t="s">
        <v>361</v>
      </c>
      <c r="H6" s="10" t="s">
        <v>366</v>
      </c>
    </row>
    <row r="7" customFormat="false" ht="15" hidden="false" customHeight="false" outlineLevel="0" collapsed="false">
      <c r="B7" s="8" t="s">
        <v>367</v>
      </c>
      <c r="C7" s="14" t="n">
        <v>0.9</v>
      </c>
      <c r="D7" s="8" t="s">
        <v>368</v>
      </c>
      <c r="H7" s="10" t="s">
        <v>369</v>
      </c>
    </row>
    <row r="8" customFormat="false" ht="15" hidden="false" customHeight="false" outlineLevel="0" collapsed="false">
      <c r="B8" s="8" t="s">
        <v>370</v>
      </c>
      <c r="C8" s="14" t="n">
        <v>3</v>
      </c>
      <c r="D8" s="8" t="s">
        <v>368</v>
      </c>
      <c r="H8" s="10" t="s">
        <v>371</v>
      </c>
    </row>
    <row r="9" customFormat="false" ht="15" hidden="false" customHeight="false" outlineLevel="0" collapsed="false">
      <c r="B9" s="8" t="s">
        <v>372</v>
      </c>
      <c r="C9" s="13" t="n">
        <v>0.9</v>
      </c>
      <c r="D9" s="8" t="s">
        <v>103</v>
      </c>
      <c r="H9" s="10" t="s">
        <v>373</v>
      </c>
    </row>
    <row r="10" customFormat="false" ht="15" hidden="false" customHeight="false" outlineLevel="0" collapsed="false">
      <c r="B10" s="8" t="s">
        <v>374</v>
      </c>
      <c r="C10" s="13" t="n">
        <v>0.7</v>
      </c>
      <c r="D10" s="8" t="s">
        <v>103</v>
      </c>
      <c r="H10" s="10" t="s">
        <v>375</v>
      </c>
    </row>
    <row r="11" customFormat="false" ht="15" hidden="false" customHeight="false" outlineLevel="0" collapsed="false">
      <c r="B11" s="8" t="s">
        <v>376</v>
      </c>
      <c r="C11" s="13" t="n">
        <v>0.15</v>
      </c>
      <c r="D11" s="8" t="s">
        <v>103</v>
      </c>
      <c r="H11" s="10" t="s">
        <v>377</v>
      </c>
    </row>
    <row r="12" customFormat="false" ht="15" hidden="false" customHeight="false" outlineLevel="0" collapsed="false">
      <c r="B12" s="5" t="s">
        <v>378</v>
      </c>
      <c r="C12" s="6"/>
      <c r="D12" s="6"/>
      <c r="E12" s="6"/>
      <c r="F12" s="6"/>
      <c r="G12" s="6"/>
      <c r="H12" s="6"/>
    </row>
    <row r="13" customFormat="false" ht="23.85" hidden="false" customHeight="false" outlineLevel="0" collapsed="false">
      <c r="B13" s="15" t="s">
        <v>379</v>
      </c>
      <c r="C13" s="15" t="s">
        <v>41</v>
      </c>
      <c r="D13" s="15" t="s">
        <v>380</v>
      </c>
      <c r="E13" s="15" t="s">
        <v>381</v>
      </c>
      <c r="F13" s="15" t="s">
        <v>382</v>
      </c>
      <c r="G13" s="15" t="s">
        <v>361</v>
      </c>
    </row>
    <row r="14" customFormat="false" ht="15" hidden="false" customHeight="false" outlineLevel="0" collapsed="false">
      <c r="B14" s="8" t="s">
        <v>383</v>
      </c>
      <c r="C14" s="47" t="n">
        <f aca="false">HMB!$C$31*Inputs!$C$28</f>
        <v>283.747817927904</v>
      </c>
      <c r="D14" s="47" t="n">
        <f aca="false">C14*Inputs!$C$48/2000</f>
        <v>1062.35183032207</v>
      </c>
      <c r="E14" s="47" t="n">
        <f aca="false">C14*8760/2000</f>
        <v>1242.81544252422</v>
      </c>
      <c r="F14" s="48" t="n">
        <f aca="false">C14/(HMB!$C$5/2000)</f>
        <v>378.330423903873</v>
      </c>
      <c r="G14" s="49" t="n">
        <f aca="false">C14/(HMB!$C$29/1000000)</f>
        <v>120.614035087719</v>
      </c>
    </row>
    <row r="15" customFormat="false" ht="15" hidden="false" customHeight="false" outlineLevel="0" collapsed="false">
      <c r="B15" s="8" t="s">
        <v>384</v>
      </c>
      <c r="C15" s="47" t="n">
        <f aca="false">HMB!$C$29/1000000*Emissions!$C$4</f>
        <v>0.235252736318408</v>
      </c>
      <c r="D15" s="47" t="n">
        <f aca="false">C15*Inputs!$C$48/2000</f>
        <v>0.88078624477612</v>
      </c>
      <c r="E15" s="47" t="n">
        <f aca="false">C15*8760/2000</f>
        <v>1.03040698507463</v>
      </c>
      <c r="F15" s="48" t="n">
        <f aca="false">C15/(HMB!$C$5/2000)</f>
        <v>0.313670315091211</v>
      </c>
      <c r="G15" s="49" t="n">
        <f aca="false">C15/(HMB!$C$29/1000000)</f>
        <v>0.1</v>
      </c>
    </row>
    <row r="16" customFormat="false" ht="15" hidden="false" customHeight="false" outlineLevel="0" collapsed="false">
      <c r="B16" s="8" t="s">
        <v>385</v>
      </c>
      <c r="C16" s="47" t="n">
        <f aca="false">HMB!$C$29/1000000*Emissions!$C$5</f>
        <v>0.188202189054726</v>
      </c>
      <c r="D16" s="47" t="n">
        <f aca="false">C16*Inputs!$C$48/2000</f>
        <v>0.704628995820896</v>
      </c>
      <c r="E16" s="47" t="n">
        <f aca="false">C16*8760/2000</f>
        <v>0.824325588059702</v>
      </c>
      <c r="F16" s="48" t="n">
        <f aca="false">C16/(HMB!$C$5/2000)</f>
        <v>0.250936252072969</v>
      </c>
      <c r="G16" s="49" t="n">
        <f aca="false">C16/(HMB!$C$29/1000000)</f>
        <v>0.08</v>
      </c>
    </row>
    <row r="17" customFormat="false" ht="15" hidden="false" customHeight="false" outlineLevel="0" collapsed="false">
      <c r="B17" s="8" t="s">
        <v>386</v>
      </c>
      <c r="C17" s="47" t="n">
        <f aca="false">HMB!$C$29/1000000*Emissions!$C$6</f>
        <v>0.00141151641791045</v>
      </c>
      <c r="D17" s="47" t="n">
        <f aca="false">C17*Inputs!$C$48/2000</f>
        <v>0.00528471746865672</v>
      </c>
      <c r="E17" s="47" t="n">
        <f aca="false">C17*8760/2000</f>
        <v>0.00618244191044776</v>
      </c>
      <c r="F17" s="48" t="n">
        <f aca="false">C17/(HMB!$C$5/2000)</f>
        <v>0.00188202189054726</v>
      </c>
      <c r="G17" s="49" t="n">
        <f aca="false">C17/(HMB!$C$29/1000000)</f>
        <v>0.0006</v>
      </c>
    </row>
    <row r="18" customFormat="false" ht="15" hidden="false" customHeight="false" outlineLevel="0" collapsed="false">
      <c r="B18" s="8" t="s">
        <v>387</v>
      </c>
      <c r="C18" s="47" t="n">
        <f aca="false">Emissions!$C$7*(HMB!$C$5/2000)</f>
        <v>0.675</v>
      </c>
      <c r="D18" s="47" t="n">
        <f aca="false">C18*Inputs!$C$48/2000</f>
        <v>2.5272</v>
      </c>
      <c r="E18" s="47" t="n">
        <f aca="false">C18*8760/2000</f>
        <v>2.9565</v>
      </c>
      <c r="F18" s="48" t="n">
        <f aca="false">C18/(HMB!$C$5/2000)</f>
        <v>0.9</v>
      </c>
      <c r="G18" s="49" t="n">
        <f aca="false">C18/(HMB!$C$29/1000000)</f>
        <v>0.286925461766535</v>
      </c>
    </row>
    <row r="19" customFormat="false" ht="15" hidden="false" customHeight="false" outlineLevel="0" collapsed="false">
      <c r="B19" s="8" t="s">
        <v>388</v>
      </c>
      <c r="C19" s="47" t="n">
        <f aca="false">Emissions!$C$11*Emissions!$C$7*(HMB!$C$5/2000)</f>
        <v>0.10125</v>
      </c>
      <c r="D19" s="47" t="n">
        <f aca="false">C19*Inputs!$C$48/2000</f>
        <v>0.37908</v>
      </c>
      <c r="E19" s="47" t="n">
        <f aca="false">C19*8760/2000</f>
        <v>0.443475</v>
      </c>
      <c r="F19" s="48" t="n">
        <f aca="false">C19/(HMB!$C$5/2000)</f>
        <v>0.135</v>
      </c>
      <c r="G19" s="49" t="n">
        <f aca="false">C19/(HMB!$C$29/1000000)</f>
        <v>0.0430388192649802</v>
      </c>
    </row>
    <row r="20" customFormat="false" ht="15" hidden="false" customHeight="false" outlineLevel="0" collapsed="false">
      <c r="B20" s="8" t="s">
        <v>389</v>
      </c>
      <c r="C20" s="47" t="n">
        <f aca="false">Emissions!$C$8*(HMB!$C$5/2000)*(1-Emissions!$C$9)</f>
        <v>0.225</v>
      </c>
      <c r="D20" s="47" t="n">
        <f aca="false">C20*Inputs!$C$48/2000</f>
        <v>0.8424</v>
      </c>
      <c r="E20" s="47" t="n">
        <f aca="false">C20*8760/2000</f>
        <v>0.9855</v>
      </c>
      <c r="F20" s="48" t="n">
        <f aca="false">C20/(HMB!$C$5/2000)</f>
        <v>0.3</v>
      </c>
      <c r="G20" s="49" t="n">
        <f aca="false">C20/(HMB!$C$29/1000000)</f>
        <v>0.0956418205888448</v>
      </c>
    </row>
    <row r="21" customFormat="false" ht="15" hidden="false" customHeight="false" outlineLevel="0" collapsed="false">
      <c r="B21" s="8" t="s">
        <v>390</v>
      </c>
      <c r="C21" s="47" t="n">
        <f aca="false">Emissions!$C$8*(HMB!$C$5/2000)*(1-Emissions!$C$9)*Emissions!$C$10</f>
        <v>0.1575</v>
      </c>
      <c r="D21" s="47" t="n">
        <f aca="false">C21*Inputs!$C$48/2000</f>
        <v>0.58968</v>
      </c>
      <c r="E21" s="47" t="n">
        <f aca="false">C21*8760/2000</f>
        <v>0.68985</v>
      </c>
      <c r="F21" s="48" t="n">
        <f aca="false">C21/(HMB!$C$5/2000)</f>
        <v>0.21</v>
      </c>
      <c r="G21" s="49" t="n">
        <f aca="false">C21/(HMB!$C$29/1000000)</f>
        <v>0.0669492744121914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50"/>
  </cols>
  <sheetData>
    <row r="1" customFormat="false" ht="16.15" hidden="false" customHeight="false" outlineLevel="0" collapsed="false">
      <c r="B1" s="4" t="s">
        <v>391</v>
      </c>
    </row>
    <row r="3" customFormat="false" ht="15" hidden="false" customHeight="false" outlineLevel="0" collapsed="false">
      <c r="B3" s="5" t="s">
        <v>392</v>
      </c>
      <c r="C3" s="6"/>
      <c r="D3" s="6"/>
      <c r="E3" s="6"/>
    </row>
    <row r="4" customFormat="false" ht="15" hidden="false" customHeight="false" outlineLevel="0" collapsed="false">
      <c r="B4" s="8" t="s">
        <v>154</v>
      </c>
      <c r="C4" s="24" t="n">
        <f aca="false">Inputs!$C$7/2.20462</f>
        <v>1360.77872830692</v>
      </c>
      <c r="D4" s="8" t="s">
        <v>393</v>
      </c>
    </row>
    <row r="5" customFormat="false" ht="15" hidden="false" customHeight="false" outlineLevel="0" collapsed="false">
      <c r="B5" s="8" t="s">
        <v>154</v>
      </c>
      <c r="C5" s="50" t="n">
        <f aca="false">Inputs!$C$7/2.20462/1000</f>
        <v>1.36077872830692</v>
      </c>
      <c r="D5" s="8" t="s">
        <v>394</v>
      </c>
    </row>
    <row r="6" customFormat="false" ht="15" hidden="false" customHeight="false" outlineLevel="0" collapsed="false">
      <c r="B6" s="8" t="s">
        <v>157</v>
      </c>
      <c r="C6" s="24" t="n">
        <f aca="false">HMB!$C$7/2.20462</f>
        <v>755.988182392733</v>
      </c>
      <c r="D6" s="8" t="s">
        <v>393</v>
      </c>
    </row>
    <row r="7" customFormat="false" ht="15" hidden="false" customHeight="false" outlineLevel="0" collapsed="false">
      <c r="B7" s="8" t="s">
        <v>159</v>
      </c>
      <c r="C7" s="24" t="n">
        <f aca="false">HMB!$C$9/2.20462</f>
        <v>604.790545914186</v>
      </c>
      <c r="D7" s="8" t="s">
        <v>393</v>
      </c>
    </row>
    <row r="8" customFormat="false" ht="15" hidden="false" customHeight="false" outlineLevel="0" collapsed="false">
      <c r="B8" s="8" t="s">
        <v>395</v>
      </c>
      <c r="C8" s="51" t="str">
        <f aca="false">TEXT(Inputs!$C$8,"0.0%")&amp;" / "&amp;TEXT(Inputs!$C$9,"0.0%")</f>
        <v>50.0% / 10.0%</v>
      </c>
      <c r="D8" s="8"/>
    </row>
    <row r="9" customFormat="false" ht="15" hidden="false" customHeight="false" outlineLevel="0" collapsed="false">
      <c r="B9" s="5" t="s">
        <v>396</v>
      </c>
      <c r="C9" s="6"/>
      <c r="D9" s="6"/>
      <c r="E9" s="6"/>
    </row>
    <row r="10" customFormat="false" ht="15" hidden="false" customHeight="false" outlineLevel="0" collapsed="false">
      <c r="B10" s="8" t="s">
        <v>397</v>
      </c>
      <c r="C10" s="24" t="n">
        <f aca="false">HMB!$C$13*2.326</f>
        <v>2614.23792</v>
      </c>
      <c r="D10" s="8" t="s">
        <v>398</v>
      </c>
    </row>
    <row r="11" customFormat="false" ht="15" hidden="false" customHeight="false" outlineLevel="0" collapsed="false">
      <c r="B11" s="8" t="s">
        <v>96</v>
      </c>
      <c r="C11" s="24" t="n">
        <f aca="false">HMB!$C$14*2.326</f>
        <v>4070.5</v>
      </c>
      <c r="D11" s="8" t="s">
        <v>398</v>
      </c>
    </row>
    <row r="12" customFormat="false" ht="15" hidden="false" customHeight="false" outlineLevel="0" collapsed="false">
      <c r="B12" s="8" t="s">
        <v>399</v>
      </c>
      <c r="C12" s="50" t="n">
        <f aca="false">HMB!$C$29*1.05506/1000000</f>
        <v>2.482057519801</v>
      </c>
      <c r="D12" s="8" t="s">
        <v>400</v>
      </c>
    </row>
    <row r="13" customFormat="false" ht="15" hidden="false" customHeight="false" outlineLevel="0" collapsed="false">
      <c r="B13" s="8" t="s">
        <v>399</v>
      </c>
      <c r="C13" s="24" t="n">
        <f aca="false">HMB!$C$29*0.293071/1000</f>
        <v>689.457546855722</v>
      </c>
      <c r="D13" s="8" t="s">
        <v>401</v>
      </c>
    </row>
    <row r="14" customFormat="false" ht="15" hidden="false" customHeight="false" outlineLevel="0" collapsed="false">
      <c r="B14" s="8" t="s">
        <v>190</v>
      </c>
      <c r="C14" s="51" t="n">
        <f aca="false">HMB!$C$31/2.20462</f>
        <v>46.8021811927027</v>
      </c>
      <c r="D14" s="8" t="s">
        <v>393</v>
      </c>
    </row>
    <row r="15" customFormat="false" ht="15" hidden="false" customHeight="false" outlineLevel="0" collapsed="false">
      <c r="B15" s="8" t="s">
        <v>100</v>
      </c>
      <c r="C15" s="24" t="n">
        <f aca="false">Inputs!$C$24*2.326</f>
        <v>53032.8</v>
      </c>
      <c r="D15" s="8" t="s">
        <v>398</v>
      </c>
    </row>
    <row r="16" customFormat="false" ht="15" hidden="false" customHeight="false" outlineLevel="0" collapsed="false">
      <c r="B16" s="5" t="s">
        <v>402</v>
      </c>
      <c r="C16" s="6"/>
      <c r="D16" s="6"/>
      <c r="E16" s="6"/>
    </row>
    <row r="17" customFormat="false" ht="15" hidden="false" customHeight="false" outlineLevel="0" collapsed="false">
      <c r="B17" s="8" t="s">
        <v>403</v>
      </c>
      <c r="C17" s="51" t="str">
        <f aca="false">TEXT((Inputs!$C$10-32)*5/9,"0")&amp;" / "&amp;TEXT((Inputs!$C$11-32)*5/9,"0")</f>
        <v>16 / 93</v>
      </c>
      <c r="D17" s="8" t="s">
        <v>404</v>
      </c>
    </row>
    <row r="18" customFormat="false" ht="15" hidden="false" customHeight="false" outlineLevel="0" collapsed="false">
      <c r="B18" s="8" t="s">
        <v>405</v>
      </c>
      <c r="C18" s="51" t="str">
        <f aca="false">TEXT((Inputs!$C$29-32)*5/9,"0")&amp;" / "&amp;TEXT((Inputs!$C$30-32)*5/9,"0")</f>
        <v>316 / 82</v>
      </c>
      <c r="D18" s="8" t="s">
        <v>404</v>
      </c>
    </row>
    <row r="19" customFormat="false" ht="15" hidden="false" customHeight="false" outlineLevel="0" collapsed="false">
      <c r="B19" s="5" t="s">
        <v>406</v>
      </c>
      <c r="C19" s="6"/>
      <c r="D19" s="6"/>
      <c r="E19" s="6"/>
    </row>
    <row r="20" customFormat="false" ht="15" hidden="false" customHeight="false" outlineLevel="0" collapsed="false">
      <c r="B20" s="8" t="s">
        <v>407</v>
      </c>
      <c r="C20" s="24" t="n">
        <f aca="false">HMB!$C$38/2.20462</f>
        <v>7410.34535551126</v>
      </c>
      <c r="D20" s="8" t="s">
        <v>393</v>
      </c>
    </row>
    <row r="21" customFormat="false" ht="15" hidden="false" customHeight="false" outlineLevel="0" collapsed="false">
      <c r="B21" s="8" t="s">
        <v>208</v>
      </c>
      <c r="C21" s="24" t="n">
        <f aca="false">HMB!$C$44/2.20462</f>
        <v>8942.52112175885</v>
      </c>
      <c r="D21" s="8" t="s">
        <v>393</v>
      </c>
    </row>
    <row r="22" customFormat="false" ht="15" hidden="false" customHeight="false" outlineLevel="0" collapsed="false">
      <c r="B22" s="8" t="s">
        <v>215</v>
      </c>
      <c r="C22" s="24" t="n">
        <f aca="false">HMB!$C$49*1.69901</f>
        <v>9698.72007516217</v>
      </c>
      <c r="D22" s="8" t="s">
        <v>408</v>
      </c>
    </row>
    <row r="23" customFormat="false" ht="15" hidden="false" customHeight="false" outlineLevel="0" collapsed="false">
      <c r="B23" s="8" t="s">
        <v>409</v>
      </c>
      <c r="C23" s="24" t="n">
        <f aca="false">HMB!$C$50*1.69901*273.15/294.26</f>
        <v>7279.94171522702</v>
      </c>
      <c r="D23" s="8" t="s">
        <v>410</v>
      </c>
    </row>
    <row r="24" customFormat="false" ht="15" hidden="false" customHeight="false" outlineLevel="0" collapsed="false">
      <c r="B24" s="5" t="s">
        <v>411</v>
      </c>
      <c r="C24" s="6"/>
      <c r="D24" s="6"/>
      <c r="E24" s="6"/>
    </row>
    <row r="25" customFormat="false" ht="15" hidden="false" customHeight="false" outlineLevel="0" collapsed="false">
      <c r="B25" s="8" t="s">
        <v>235</v>
      </c>
      <c r="C25" s="51" t="str">
        <f aca="false">Equipment!$C$4</f>
        <v>XD-60 Mk.2</v>
      </c>
      <c r="D25" s="8"/>
    </row>
    <row r="26" customFormat="false" ht="15" hidden="false" customHeight="false" outlineLevel="0" collapsed="false">
      <c r="B26" s="8" t="s">
        <v>412</v>
      </c>
      <c r="C26" s="51" t="str">
        <f aca="false">IF(ISNUMBER(Equipment!$C$5),TEXT(Equipment!$C$5*0.3048,"0.00")&amp;" × "&amp;TEXT(Equipment!$C$6*0.3048,"0.0"),"")</f>
        <v>1.52 × 9.1</v>
      </c>
      <c r="D26" s="8" t="s">
        <v>413</v>
      </c>
    </row>
    <row r="27" customFormat="false" ht="15" hidden="false" customHeight="false" outlineLevel="0" collapsed="false">
      <c r="B27" s="8" t="s">
        <v>303</v>
      </c>
      <c r="C27" s="41" t="n">
        <f aca="false">Equipment!$C$15*0.293071</f>
        <v>0.827349056226866</v>
      </c>
      <c r="D27" s="8" t="s">
        <v>414</v>
      </c>
    </row>
    <row r="28" customFormat="false" ht="15" hidden="false" customHeight="false" outlineLevel="0" collapsed="false">
      <c r="B28" s="8" t="s">
        <v>319</v>
      </c>
      <c r="C28" s="51" t="n">
        <f aca="false">Equipment!$C$25*0.7457</f>
        <v>14.914</v>
      </c>
      <c r="D28" s="8" t="s">
        <v>401</v>
      </c>
    </row>
    <row r="29" customFormat="false" ht="15" hidden="false" customHeight="false" outlineLevel="0" collapsed="false">
      <c r="B29" s="8" t="s">
        <v>415</v>
      </c>
      <c r="C29" s="24" t="n">
        <f aca="false">Equipment!$C$27*25.4</f>
        <v>406.4</v>
      </c>
      <c r="D29" s="8" t="s">
        <v>416</v>
      </c>
    </row>
    <row r="30" customFormat="false" ht="15" hidden="false" customHeight="false" outlineLevel="0" collapsed="false">
      <c r="B30" s="8" t="s">
        <v>129</v>
      </c>
      <c r="C30" s="24" t="n">
        <f aca="false">Inputs!$C$37*249.09</f>
        <v>2490.9</v>
      </c>
      <c r="D30" s="8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6" min="3" style="0" width="18"/>
  </cols>
  <sheetData>
    <row r="1" customFormat="false" ht="16.15" hidden="false" customHeight="false" outlineLevel="0" collapsed="false">
      <c r="B1" s="4" t="s">
        <v>418</v>
      </c>
    </row>
    <row r="3" customFormat="false" ht="15" hidden="false" customHeight="false" outlineLevel="0" collapsed="false">
      <c r="B3" s="15" t="s">
        <v>419</v>
      </c>
      <c r="C3" s="15" t="s">
        <v>420</v>
      </c>
      <c r="D3" s="15" t="s">
        <v>421</v>
      </c>
      <c r="E3" s="15" t="s">
        <v>422</v>
      </c>
      <c r="F3" s="15" t="s">
        <v>423</v>
      </c>
    </row>
    <row r="4" customFormat="false" ht="15" hidden="false" customHeight="false" outlineLevel="0" collapsed="false">
      <c r="B4" s="52" t="s">
        <v>34</v>
      </c>
      <c r="C4" s="9" t="s">
        <v>35</v>
      </c>
      <c r="D4" s="9" t="s">
        <v>424</v>
      </c>
      <c r="E4" s="9" t="s">
        <v>425</v>
      </c>
      <c r="F4" s="9" t="s">
        <v>426</v>
      </c>
    </row>
    <row r="5" customFormat="false" ht="15" hidden="false" customHeight="false" outlineLevel="0" collapsed="false">
      <c r="B5" s="52" t="s">
        <v>427</v>
      </c>
      <c r="C5" s="9" t="n">
        <v>3000</v>
      </c>
      <c r="D5" s="9" t="n">
        <v>3000</v>
      </c>
      <c r="E5" s="9" t="n">
        <v>6430</v>
      </c>
      <c r="F5" s="9" t="n">
        <v>4300</v>
      </c>
    </row>
    <row r="6" customFormat="false" ht="15" hidden="false" customHeight="false" outlineLevel="0" collapsed="false">
      <c r="B6" s="52" t="s">
        <v>428</v>
      </c>
      <c r="C6" s="18" t="n">
        <v>0.5</v>
      </c>
      <c r="D6" s="18" t="n">
        <v>0.35</v>
      </c>
      <c r="E6" s="18" t="n">
        <v>0.7</v>
      </c>
      <c r="F6" s="18" t="n">
        <v>0.5</v>
      </c>
    </row>
    <row r="7" customFormat="false" ht="15" hidden="false" customHeight="false" outlineLevel="0" collapsed="false">
      <c r="B7" s="52" t="s">
        <v>429</v>
      </c>
      <c r="C7" s="18" t="n">
        <v>0.1</v>
      </c>
      <c r="D7" s="18" t="n">
        <v>0.1</v>
      </c>
      <c r="E7" s="18" t="n">
        <v>0.15</v>
      </c>
      <c r="F7" s="18" t="n">
        <v>0.1</v>
      </c>
    </row>
    <row r="8" customFormat="false" ht="15" hidden="false" customHeight="false" outlineLevel="0" collapsed="false">
      <c r="B8" s="52" t="s">
        <v>430</v>
      </c>
      <c r="C8" s="9" t="n">
        <v>60</v>
      </c>
      <c r="D8" s="9" t="n">
        <v>60</v>
      </c>
      <c r="E8" s="9" t="n">
        <v>85</v>
      </c>
      <c r="F8" s="9" t="n">
        <v>70</v>
      </c>
    </row>
    <row r="9" customFormat="false" ht="15" hidden="false" customHeight="false" outlineLevel="0" collapsed="false">
      <c r="B9" s="52" t="s">
        <v>431</v>
      </c>
      <c r="C9" s="9" t="n">
        <v>200</v>
      </c>
      <c r="D9" s="9" t="n">
        <v>176</v>
      </c>
      <c r="E9" s="9" t="n">
        <v>180</v>
      </c>
      <c r="F9" s="9" t="n">
        <v>160</v>
      </c>
    </row>
    <row r="10" customFormat="false" ht="15" hidden="false" customHeight="false" outlineLevel="0" collapsed="false">
      <c r="B10" s="52" t="s">
        <v>432</v>
      </c>
      <c r="C10" s="9" t="n">
        <v>600</v>
      </c>
      <c r="D10" s="9" t="n">
        <v>588</v>
      </c>
      <c r="E10" s="9" t="n">
        <v>1100</v>
      </c>
      <c r="F10" s="9" t="n">
        <v>600</v>
      </c>
    </row>
    <row r="11" customFormat="false" ht="15" hidden="false" customHeight="false" outlineLevel="0" collapsed="false">
      <c r="B11" s="52" t="s">
        <v>433</v>
      </c>
      <c r="C11" s="9" t="n">
        <v>180</v>
      </c>
      <c r="D11" s="9" t="n">
        <v>180</v>
      </c>
      <c r="E11" s="9" t="n">
        <v>230</v>
      </c>
      <c r="F11" s="9" t="n">
        <v>220</v>
      </c>
    </row>
    <row r="12" customFormat="false" ht="15" hidden="false" customHeight="false" outlineLevel="0" collapsed="false">
      <c r="B12" s="52" t="s">
        <v>434</v>
      </c>
      <c r="C12" s="9" t="n">
        <v>1750</v>
      </c>
      <c r="D12" s="9" t="n">
        <v>1750</v>
      </c>
      <c r="E12" s="9" t="n">
        <v>1750</v>
      </c>
      <c r="F12" s="9" t="n">
        <v>1750</v>
      </c>
    </row>
    <row r="13" customFormat="false" ht="15" hidden="false" customHeight="false" outlineLevel="0" collapsed="false">
      <c r="B13" s="52" t="s">
        <v>60</v>
      </c>
      <c r="C13" s="9" t="s">
        <v>70</v>
      </c>
      <c r="D13" s="9" t="s">
        <v>85</v>
      </c>
      <c r="E13" s="9" t="s">
        <v>88</v>
      </c>
      <c r="F13" s="9" t="s">
        <v>70</v>
      </c>
    </row>
    <row r="14" customFormat="false" ht="15" hidden="false" customHeight="false" outlineLevel="0" collapsed="false">
      <c r="B14" s="52" t="s">
        <v>30</v>
      </c>
      <c r="C14" s="9" t="s">
        <v>435</v>
      </c>
      <c r="D14" s="9" t="s">
        <v>436</v>
      </c>
      <c r="E14" s="9" t="s">
        <v>437</v>
      </c>
      <c r="F14" s="9" t="s">
        <v>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2026-09-09T02:13:27Z</dcterms:created>
  <dc:creator>openpyxl</dc:creator>
  <dc:description/>
  <dc:language>en-US</dc:language>
  <cp:lastModifiedBy/>
  <dcterms:modified xsi:type="dcterms:W3CDTF">2026-09-09T02:13:27Z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